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Dept Data" sheetId="2" state="visible" r:id="rId4"/>
    <sheet name="Turnover Risk" sheetId="3" state="visible" r:id="rId5"/>
    <sheet name="Performance" sheetId="4" state="visible" r:id="rId6"/>
    <sheet name="Location" sheetId="5" state="visible" r:id="rId7"/>
    <sheet name="Critical Roles" sheetId="6" state="visible" r:id="rId8"/>
    <sheet name="HRBP Insights" sheetId="7" state="visible" r:id="rId9"/>
  </sheets>
  <definedNames>
    <definedName function="false" hidden="false" localSheetId="0" name="_xlnm.Print_Titles" vbProcedure="false">Dashboard!$1:$3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<sst xmlns="http://schemas.openxmlformats.org/spreadsheetml/2006/main" count="149" uniqueCount="129">
  <si>
    <t xml:space="preserve">WORKFORCE PLANNING DASHBOARD</t>
  </si>
  <si>
    <t xml:space="preserve">Executive Overview  |  Data as of September 2026</t>
  </si>
  <si>
    <t xml:space="preserve">CURRENT HEADCOUNT</t>
  </si>
  <si>
    <t xml:space="preserve">REQUIRED HEADCOUNT</t>
  </si>
  <si>
    <t xml:space="preserve">WORKFORCE GAP</t>
  </si>
  <si>
    <t xml:space="preserve">HIGH-TURNOVER RISK</t>
  </si>
  <si>
    <t xml:space="preserve">Employees</t>
  </si>
  <si>
    <t xml:space="preserve">Open Roles</t>
  </si>
  <si>
    <t xml:space="preserve">CRITICAL-ROLE EMPLOYEES</t>
  </si>
  <si>
    <t xml:space="preserve">MONTHLY PAYROLL</t>
  </si>
  <si>
    <t xml:space="preserve">GAP % OF REQUIRED</t>
  </si>
  <si>
    <t xml:space="preserve">TURNOVER RISK %</t>
  </si>
  <si>
    <t xml:space="preserve">₦353.4M</t>
  </si>
  <si>
    <t xml:space="preserve">5.8%</t>
  </si>
  <si>
    <t xml:space="preserve">21.4%</t>
  </si>
  <si>
    <t xml:space="preserve">Notes &amp; Data Sources</t>
  </si>
  <si>
    <t xml:space="preserve">All figures are as of September 2026. Current Headcount = 700; Required = 743; Gap = 43. High-turnover-risk = 150 (21.4%). Critical-role employees = 291. Monthly payroll = ₦353.4M. Supporting data sheets contain department, risk, performance, location, and critical-role breakdowns. HRBP Insights sheet provides prioritized recommendations. Charts are linked to source data and will update if underlying numbers change.</t>
  </si>
  <si>
    <t xml:space="preserve">Department Workforce Data</t>
  </si>
  <si>
    <t xml:space="preserve">Department</t>
  </si>
  <si>
    <t xml:space="preserve">Current HC</t>
  </si>
  <si>
    <t xml:space="preserve">Required HC</t>
  </si>
  <si>
    <t xml:space="preserve">Gap</t>
  </si>
  <si>
    <t xml:space="preserve">Gap %</t>
  </si>
  <si>
    <t xml:space="preserve">Monthly Payroll (₦M)</t>
  </si>
  <si>
    <t xml:space="preserve">High Risk Count</t>
  </si>
  <si>
    <t xml:space="preserve">Operations</t>
  </si>
  <si>
    <t xml:space="preserve">Sales &amp; Marketing</t>
  </si>
  <si>
    <t xml:space="preserve">Technology / IT</t>
  </si>
  <si>
    <t xml:space="preserve">Finance</t>
  </si>
  <si>
    <t xml:space="preserve">Human Resources</t>
  </si>
  <si>
    <t xml:space="preserve">Customer Support</t>
  </si>
  <si>
    <t xml:space="preserve">Legal &amp; Compliance</t>
  </si>
  <si>
    <t xml:space="preserve">Supply Chain</t>
  </si>
  <si>
    <t xml:space="preserve">Product Management</t>
  </si>
  <si>
    <t xml:space="preserve">Executive / Corporate</t>
  </si>
  <si>
    <t xml:space="preserve">TOTAL</t>
  </si>
  <si>
    <t xml:space="preserve">Turnover Risk Distribution</t>
  </si>
  <si>
    <t xml:space="preserve">Risk Category</t>
  </si>
  <si>
    <t xml:space="preserve">Employee Count</t>
  </si>
  <si>
    <t xml:space="preserve">% of Workforce</t>
  </si>
  <si>
    <t xml:space="preserve">Description</t>
  </si>
  <si>
    <t xml:space="preserve">Low Risk</t>
  </si>
  <si>
    <t xml:space="preserve">Stable tenure, high engagement scores</t>
  </si>
  <si>
    <t xml:space="preserve">Medium Risk</t>
  </si>
  <si>
    <t xml:space="preserve">Some flight indicators present</t>
  </si>
  <si>
    <t xml:space="preserve">High Risk</t>
  </si>
  <si>
    <t xml:space="preserve">Multiple risk factors; priority retention</t>
  </si>
  <si>
    <t xml:space="preserve">Performance Distribution</t>
  </si>
  <si>
    <t xml:space="preserve">Performance Band</t>
  </si>
  <si>
    <t xml:space="preserve">Notes</t>
  </si>
  <si>
    <t xml:space="preserve">Exceeds Expectations</t>
  </si>
  <si>
    <t xml:space="preserve">Top talent – retention priority</t>
  </si>
  <si>
    <t xml:space="preserve">Meets Expectations</t>
  </si>
  <si>
    <t xml:space="preserve">Solid core performers</t>
  </si>
  <si>
    <t xml:space="preserve">Needs Improvement</t>
  </si>
  <si>
    <t xml:space="preserve">Development plans required</t>
  </si>
  <si>
    <t xml:space="preserve">Unsatisfactory</t>
  </si>
  <si>
    <t xml:space="preserve">PIP / exit consideration</t>
  </si>
  <si>
    <t xml:space="preserve">Headcount by Location</t>
  </si>
  <si>
    <t xml:space="preserve">Location</t>
  </si>
  <si>
    <t xml:space="preserve">% of Total</t>
  </si>
  <si>
    <t xml:space="preserve">Lagos HQ</t>
  </si>
  <si>
    <t xml:space="preserve">Abuja</t>
  </si>
  <si>
    <t xml:space="preserve">Port Harcourt</t>
  </si>
  <si>
    <t xml:space="preserve">Ibadan</t>
  </si>
  <si>
    <t xml:space="preserve">Kano</t>
  </si>
  <si>
    <t xml:space="preserve">Remote / Hybrid</t>
  </si>
  <si>
    <t xml:space="preserve">Critical Role Employees (291 total)</t>
  </si>
  <si>
    <t xml:space="preserve">Role Category</t>
  </si>
  <si>
    <t xml:space="preserve">Count</t>
  </si>
  <si>
    <t xml:space="preserve">% of Critical</t>
  </si>
  <si>
    <t xml:space="preserve">Dept Primary</t>
  </si>
  <si>
    <t xml:space="preserve">Avg Tenure (yrs)</t>
  </si>
  <si>
    <t xml:space="preserve">Engineering / Tech Leads</t>
  </si>
  <si>
    <t xml:space="preserve">Technology</t>
  </si>
  <si>
    <t xml:space="preserve">Sales Directors / Key Account</t>
  </si>
  <si>
    <t xml:space="preserve">Operations Managers</t>
  </si>
  <si>
    <t xml:space="preserve">Finance Controllers</t>
  </si>
  <si>
    <t xml:space="preserve">Customer Success Leads</t>
  </si>
  <si>
    <t xml:space="preserve">Supply Chain Specialists</t>
  </si>
  <si>
    <t xml:space="preserve">Legal Counsel</t>
  </si>
  <si>
    <t xml:space="preserve">Legal</t>
  </si>
  <si>
    <t xml:space="preserve">Product Owners</t>
  </si>
  <si>
    <t xml:space="preserve">Product</t>
  </si>
  <si>
    <t xml:space="preserve">HRBP Management Insights &amp; Action Recommendations</t>
  </si>
  <si>
    <t xml:space="preserve">Priority</t>
  </si>
  <si>
    <t xml:space="preserve">Insight</t>
  </si>
  <si>
    <t xml:space="preserve">Impact</t>
  </si>
  <si>
    <t xml:space="preserve">Recommended Action</t>
  </si>
  <si>
    <t xml:space="preserve">Owner</t>
  </si>
  <si>
    <t xml:space="preserve">Target Timeline</t>
  </si>
  <si>
    <t xml:space="preserve">HIGH</t>
  </si>
  <si>
    <t xml:space="preserve">Workforce gap of 43 roles (5.8% of required). Highest gaps in Sales (12) and Operations (10).</t>
  </si>
  <si>
    <t xml:space="preserve">Revenue &amp; delivery risk</t>
  </si>
  <si>
    <t xml:space="preserve">Accelerate hiring for Sales &amp; Operations; leverage contractor pool for interim coverage.</t>
  </si>
  <si>
    <t xml:space="preserve">CHRO / Talent Acquisition</t>
  </si>
  <si>
    <t xml:space="preserve">Q4 2026</t>
  </si>
  <si>
    <t xml:space="preserve">150 employees (21.4%) flagged as high turnover risk. Concentrated in Operations, Sales, and Customer Support.</t>
  </si>
  <si>
    <t xml:space="preserve">Knowledge loss &amp; cost</t>
  </si>
  <si>
    <t xml:space="preserve">Launch targeted retention program (stay interviews, career pathing, compensation review) for high-risk critical roles.</t>
  </si>
  <si>
    <t xml:space="preserve">HRBPs + People Analytics</t>
  </si>
  <si>
    <t xml:space="preserve">Immediate – 60 days</t>
  </si>
  <si>
    <t xml:space="preserve">MEDIUM</t>
  </si>
  <si>
    <t xml:space="preserve">Critical-role population is 291 (41.6% of HC). Engineering leads and Ops managers form the largest groups.</t>
  </si>
  <si>
    <t xml:space="preserve">Succession &amp; continuity</t>
  </si>
  <si>
    <t xml:space="preserve">Complete succession plans for all critical roles; identify 2-deep bench where possible.</t>
  </si>
  <si>
    <t xml:space="preserve">HRBPs + Line Managers</t>
  </si>
  <si>
    <t xml:space="preserve">Q1 2027</t>
  </si>
  <si>
    <t xml:space="preserve">Performance distribution shows 6% Unsatisfactory and 20% Needs Improvement. Development capacity required.</t>
  </si>
  <si>
    <t xml:space="preserve">Productivity &amp; culture</t>
  </si>
  <si>
    <t xml:space="preserve">Mandate PIPs for Unsatisfactory; structured development plans for Needs Improvement band.</t>
  </si>
  <si>
    <t xml:space="preserve">HRBPs + Managers</t>
  </si>
  <si>
    <t xml:space="preserve">Ongoing</t>
  </si>
  <si>
    <t xml:space="preserve">Lagos HQ holds 40.7% of headcount; Remote/Hybrid at 11%. Location strategy may need rebalancing.</t>
  </si>
  <si>
    <t xml:space="preserve">Cost &amp; talent access</t>
  </si>
  <si>
    <t xml:space="preserve">Review remote eligibility for hard-to-fill roles; consider hub expansion in Abuja/Port Harcourt.</t>
  </si>
  <si>
    <t xml:space="preserve">CHRO / Real Estate</t>
  </si>
  <si>
    <t xml:space="preserve">Q2 2027</t>
  </si>
  <si>
    <t xml:space="preserve">LOW</t>
  </si>
  <si>
    <t xml:space="preserve">Monthly payroll ₦353.4M. Technology and Operations are the largest cost centers.</t>
  </si>
  <si>
    <t xml:space="preserve">Cost control</t>
  </si>
  <si>
    <t xml:space="preserve">Benchmark compensation bands annually; link any increases to critical-role retention outcomes.</t>
  </si>
  <si>
    <t xml:space="preserve">CFO / Comp &amp; Benefits</t>
  </si>
  <si>
    <t xml:space="preserve">Annual cycle</t>
  </si>
  <si>
    <t xml:space="preserve">Sales &amp; Marketing has both the largest gap (12) and high turnover risk (28). Double exposure.</t>
  </si>
  <si>
    <t xml:space="preserve">Revenue attainment</t>
  </si>
  <si>
    <t xml:space="preserve">Dedicated Sales talent acquisition sprint + retention bonuses for top performers.</t>
  </si>
  <si>
    <t xml:space="preserve">CSO + HRBP Sales</t>
  </si>
  <si>
    <t xml:space="preserve">Next 90 days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</si>
</sst>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0.0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9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9"/>
      <color rgb="FF595959"/>
      <name val="Arial"/>
      <family val="0"/>
      <charset val="1"/>
    </font>
    <font>
      <b val="true"/>
      <sz val="22"/>
      <color rgb="FF1F4E79"/>
      <name val="Arial"/>
      <family val="0"/>
      <charset val="1"/>
    </font>
    <font>
      <b val="true"/>
      <sz val="22"/>
      <color rgb="FF148F77"/>
      <name val="Arial"/>
      <family val="0"/>
      <charset val="1"/>
    </font>
    <font>
      <b val="true"/>
      <sz val="22"/>
      <color rgb="FFC0392B"/>
      <name val="Arial"/>
      <family val="0"/>
      <charset val="1"/>
    </font>
    <font>
      <b val="true"/>
      <sz val="22"/>
      <color rgb="FFD68910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8"/>
      <color rgb="FF7D3C98"/>
      <name val="Arial"/>
      <family val="0"/>
      <charset val="1"/>
    </font>
    <font>
      <b val="true"/>
      <sz val="18"/>
      <color rgb="FFB7950B"/>
      <name val="Arial"/>
      <family val="0"/>
      <charset val="1"/>
    </font>
    <font>
      <b val="true"/>
      <sz val="18"/>
      <color rgb="FFC0392B"/>
      <name val="Arial"/>
      <family val="0"/>
      <charset val="1"/>
    </font>
    <font>
      <b val="true"/>
      <sz val="18"/>
      <color rgb="FFD68910"/>
      <name val="Arial"/>
      <family val="0"/>
      <charset val="1"/>
    </font>
    <font>
      <b val="true"/>
      <sz val="14"/>
      <color rgb="FF1F4E7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b val="true"/>
      <sz val="10"/>
      <color rgb="FFD68910"/>
      <name val="Arial"/>
      <family val="0"/>
      <charset val="1"/>
    </font>
    <font>
      <b val="true"/>
      <sz val="10"/>
      <color rgb="FF148F77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D6EAF8"/>
        <bgColor rgb="FFD5F5E3"/>
      </patternFill>
    </fill>
    <fill>
      <patternFill patternType="solid">
        <fgColor rgb="FFD5F5E3"/>
        <bgColor rgb="FFD6EAF8"/>
      </patternFill>
    </fill>
    <fill>
      <patternFill patternType="solid">
        <fgColor rgb="FFFADBD8"/>
        <bgColor rgb="FFE8DAEF"/>
      </patternFill>
    </fill>
    <fill>
      <patternFill patternType="solid">
        <fgColor rgb="FFFDEBD0"/>
        <bgColor rgb="FFFCF3CF"/>
      </patternFill>
    </fill>
    <fill>
      <patternFill patternType="solid">
        <fgColor rgb="FFE8DAEF"/>
        <bgColor rgb="FFD9D9D9"/>
      </patternFill>
    </fill>
    <fill>
      <patternFill patternType="solid">
        <fgColor rgb="FFFCF3CF"/>
        <bgColor rgb="FFFDEBD0"/>
      </patternFill>
    </fill>
    <fill>
      <patternFill patternType="solid">
        <fgColor rgb="FF1F4E79"/>
        <bgColor rgb="FF003366"/>
      </patternFill>
    </fill>
    <fill>
      <patternFill patternType="solid">
        <fgColor rgb="FFF5F5F5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2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7950B"/>
      <rgbColor rgb="FF800080"/>
      <rgbColor rgb="FF148F77"/>
      <rgbColor rgb="FFB0B0B0"/>
      <rgbColor rgb="FF878787"/>
      <rgbColor rgb="FF9999FF"/>
      <rgbColor rgb="FF7D3C98"/>
      <rgbColor rgb="FFFCF3CF"/>
      <rgbColor rgb="FFD6EA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D5F5E3"/>
      <rgbColor rgb="FFFDEBD0"/>
      <rgbColor rgb="FFE8DAEF"/>
      <rgbColor rgb="FFF9F9F9"/>
      <rgbColor rgb="FFCC99FF"/>
      <rgbColor rgb="FFFADBD8"/>
      <rgbColor rgb="FF4F81BD"/>
      <rgbColor rgb="FF33CCCC"/>
      <rgbColor rgb="FF9BBB59"/>
      <rgbColor rgb="FFFFCC00"/>
      <rgbColor rgb="FFD68910"/>
      <rgbColor rgb="FFFF6600"/>
      <rgbColor rgb="FF8064A2"/>
      <rgbColor rgb="FF969696"/>
      <rgbColor rgb="FF003366"/>
      <rgbColor rgb="FF339966"/>
      <rgbColor rgb="FF003300"/>
      <rgbColor rgb="FF333300"/>
      <rgbColor rgb="FFC0392B"/>
      <rgbColor rgb="FFC0504D"/>
      <rgbColor rgb="FF1F4E7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Current vs Required Headcount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'Dept Data'!B3</c:f>
              <c:strCache>
                <c:ptCount val="1"/>
                <c:pt idx="0">
                  <c:v>Current HC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'Dept Data'!$A$4:$A$13</c:f>
              <c:strCache>
                <c:ptCount val="10"/>
                <c:pt idx="0">
                  <c:v>Operations</c:v>
                </c:pt>
                <c:pt idx="1">
                  <c:v>Sales &amp; Marketing</c:v>
                </c:pt>
                <c:pt idx="2">
                  <c:v>Technology / IT</c:v>
                </c:pt>
                <c:pt idx="3">
                  <c:v>Finance</c:v>
                </c:pt>
                <c:pt idx="4">
                  <c:v>Human Resources</c:v>
                </c:pt>
                <c:pt idx="5">
                  <c:v>Customer Support</c:v>
                </c:pt>
                <c:pt idx="6">
                  <c:v>Legal &amp; Compliance</c:v>
                </c:pt>
                <c:pt idx="7">
                  <c:v>Supply Chain</c:v>
                </c:pt>
                <c:pt idx="8">
                  <c:v>Product Management</c:v>
                </c:pt>
                <c:pt idx="9">
                  <c:v>Executive / Corporate</c:v>
                </c:pt>
              </c:strCache>
            </c:strRef>
          </c:cat>
          <c:val>
            <c:numRef>
              <c:f>'Dept Data'!$B$4:$B$13</c:f>
              <c:numCache>
                <c:formatCode>General</c:formatCode>
                <c:ptCount val="10"/>
                <c:pt idx="0">
                  <c:v>145</c:v>
                </c:pt>
                <c:pt idx="1">
                  <c:v>98</c:v>
                </c:pt>
                <c:pt idx="2">
                  <c:v>112</c:v>
                </c:pt>
                <c:pt idx="3">
                  <c:v>55</c:v>
                </c:pt>
                <c:pt idx="4">
                  <c:v>42</c:v>
                </c:pt>
                <c:pt idx="5">
                  <c:v>88</c:v>
                </c:pt>
                <c:pt idx="6">
                  <c:v>28</c:v>
                </c:pt>
                <c:pt idx="7">
                  <c:v>72</c:v>
                </c:pt>
                <c:pt idx="8">
                  <c:v>35</c:v>
                </c:pt>
                <c:pt idx="9">
                  <c:v>25</c:v>
                </c:pt>
              </c:numCache>
            </c:numRef>
          </c:val>
        </c:ser>
        <c:ser>
          <c:idx val="1"/>
          <c:order val="1"/>
          <c:tx>
            <c:strRef>
              <c:f>'Dept Data'!C3</c:f>
              <c:strCache>
                <c:ptCount val="1"/>
                <c:pt idx="0">
                  <c:v>Required HC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'Dept Data'!$A$4:$A$13</c:f>
              <c:strCache>
                <c:ptCount val="10"/>
                <c:pt idx="0">
                  <c:v>Operations</c:v>
                </c:pt>
                <c:pt idx="1">
                  <c:v>Sales &amp; Marketing</c:v>
                </c:pt>
                <c:pt idx="2">
                  <c:v>Technology / IT</c:v>
                </c:pt>
                <c:pt idx="3">
                  <c:v>Finance</c:v>
                </c:pt>
                <c:pt idx="4">
                  <c:v>Human Resources</c:v>
                </c:pt>
                <c:pt idx="5">
                  <c:v>Customer Support</c:v>
                </c:pt>
                <c:pt idx="6">
                  <c:v>Legal &amp; Compliance</c:v>
                </c:pt>
                <c:pt idx="7">
                  <c:v>Supply Chain</c:v>
                </c:pt>
                <c:pt idx="8">
                  <c:v>Product Management</c:v>
                </c:pt>
                <c:pt idx="9">
                  <c:v>Executive / Corporate</c:v>
                </c:pt>
              </c:strCache>
            </c:strRef>
          </c:cat>
          <c:val>
            <c:numRef>
              <c:f>'Dept Data'!$C$4:$C$13</c:f>
              <c:numCache>
                <c:formatCode>General</c:formatCode>
                <c:ptCount val="10"/>
                <c:pt idx="0">
                  <c:v>155</c:v>
                </c:pt>
                <c:pt idx="1">
                  <c:v>110</c:v>
                </c:pt>
                <c:pt idx="2">
                  <c:v>120</c:v>
                </c:pt>
                <c:pt idx="3">
                  <c:v>58</c:v>
                </c:pt>
                <c:pt idx="4">
                  <c:v>45</c:v>
                </c:pt>
                <c:pt idx="5">
                  <c:v>95</c:v>
                </c:pt>
                <c:pt idx="6">
                  <c:v>30</c:v>
                </c:pt>
                <c:pt idx="7">
                  <c:v>75</c:v>
                </c:pt>
                <c:pt idx="8">
                  <c:v>35</c:v>
                </c:pt>
                <c:pt idx="9">
                  <c:v>20</c:v>
                </c:pt>
              </c:numCache>
            </c:numRef>
          </c:val>
        </c:ser>
        <c:gapWidth val="150"/>
        <c:overlap val="0"/>
        <c:axId val="69291153"/>
        <c:axId val="85323104"/>
      </c:barChart>
      <c:catAx>
        <c:axId val="6929115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323104"/>
        <c:crosses val="autoZero"/>
        <c:auto val="1"/>
        <c:lblAlgn val="ctr"/>
        <c:lblOffset val="100"/>
        <c:noMultiLvlLbl val="0"/>
      </c:catAx>
      <c:valAx>
        <c:axId val="8532310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Headcount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29115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Turnover Risk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'Turnover Risk'!B3</c:f>
              <c:strCache>
                <c:ptCount val="1"/>
                <c:pt idx="0">
                  <c:v>Employee 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0"/>
            <c:showCatName val="0"/>
            <c:showSerName val="1"/>
            <c:showPercent val="1"/>
            <c:separator>
</c:separator>
            <c:showLeaderLines val="1"/>
          </c:dLbls>
          <c:cat>
            <c:strRef>
              <c:f>'Turnover Risk'!$A$4:$A$6</c:f>
              <c:strCache>
                <c:ptCount val="3"/>
                <c:pt idx="0">
                  <c:v>Low Risk</c:v>
                </c:pt>
                <c:pt idx="1">
                  <c:v>Medium Risk</c:v>
                </c:pt>
                <c:pt idx="2">
                  <c:v>High Risk</c:v>
                </c:pt>
              </c:strCache>
            </c:strRef>
          </c:cat>
          <c:val>
            <c:numRef>
              <c:f>'Turnover Risk'!$B$4:$B$6</c:f>
              <c:numCache>
                <c:formatCode>General</c:formatCode>
                <c:ptCount val="3"/>
                <c:pt idx="0">
                  <c:v>380</c:v>
                </c:pt>
                <c:pt idx="1">
                  <c:v>170</c:v>
                </c:pt>
                <c:pt idx="2">
                  <c:v>150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Workforce Gap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'Dept Data'!D3</c:f>
              <c:strCache>
                <c:ptCount val="1"/>
                <c:pt idx="0">
                  <c:v>Gap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'Dept Data'!$A$4:$A$13</c:f>
              <c:strCache>
                <c:ptCount val="10"/>
                <c:pt idx="0">
                  <c:v>Operations</c:v>
                </c:pt>
                <c:pt idx="1">
                  <c:v>Sales &amp; Marketing</c:v>
                </c:pt>
                <c:pt idx="2">
                  <c:v>Technology / IT</c:v>
                </c:pt>
                <c:pt idx="3">
                  <c:v>Finance</c:v>
                </c:pt>
                <c:pt idx="4">
                  <c:v>Human Resources</c:v>
                </c:pt>
                <c:pt idx="5">
                  <c:v>Customer Support</c:v>
                </c:pt>
                <c:pt idx="6">
                  <c:v>Legal &amp; Compliance</c:v>
                </c:pt>
                <c:pt idx="7">
                  <c:v>Supply Chain</c:v>
                </c:pt>
                <c:pt idx="8">
                  <c:v>Product Management</c:v>
                </c:pt>
                <c:pt idx="9">
                  <c:v>Executive / Corporate</c:v>
                </c:pt>
              </c:strCache>
            </c:strRef>
          </c:cat>
          <c:val>
            <c:numRef>
              <c:f>'Dept Data'!$D$4:$D$13</c:f>
              <c:numCache>
                <c:formatCode>General</c:formatCode>
                <c:ptCount val="10"/>
                <c:pt idx="0">
                  <c:v>10</c:v>
                </c:pt>
                <c:pt idx="1">
                  <c:v>12</c:v>
                </c:pt>
                <c:pt idx="2">
                  <c:v>8</c:v>
                </c:pt>
                <c:pt idx="3">
                  <c:v>3</c:v>
                </c:pt>
                <c:pt idx="4">
                  <c:v>3</c:v>
                </c:pt>
                <c:pt idx="5">
                  <c:v>7</c:v>
                </c:pt>
                <c:pt idx="6">
                  <c:v>2</c:v>
                </c:pt>
                <c:pt idx="7">
                  <c:v>3</c:v>
                </c:pt>
                <c:pt idx="8">
                  <c:v>0</c:v>
                </c:pt>
                <c:pt idx="9">
                  <c:v>-5</c:v>
                </c:pt>
              </c:numCache>
            </c:numRef>
          </c:val>
        </c:ser>
        <c:gapWidth val="150"/>
        <c:overlap val="0"/>
        <c:axId val="15563650"/>
        <c:axId val="25822297"/>
      </c:barChart>
      <c:catAx>
        <c:axId val="15563650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Gap (Headcount)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822297"/>
        <c:crosses val="autoZero"/>
        <c:auto val="1"/>
        <c:lblAlgn val="ctr"/>
        <c:lblOffset val="100"/>
        <c:noMultiLvlLbl val="0"/>
      </c:catAx>
      <c:valAx>
        <c:axId val="2582229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56365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Payroll by Department (₦M)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'Dept Data'!F3</c:f>
              <c:strCache>
                <c:ptCount val="1"/>
                <c:pt idx="0">
                  <c:v>Monthly Payroll (₦M)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'Dept Data'!$A$4:$A$13</c:f>
              <c:strCache>
                <c:ptCount val="10"/>
                <c:pt idx="0">
                  <c:v>Operations</c:v>
                </c:pt>
                <c:pt idx="1">
                  <c:v>Sales &amp; Marketing</c:v>
                </c:pt>
                <c:pt idx="2">
                  <c:v>Technology / IT</c:v>
                </c:pt>
                <c:pt idx="3">
                  <c:v>Finance</c:v>
                </c:pt>
                <c:pt idx="4">
                  <c:v>Human Resources</c:v>
                </c:pt>
                <c:pt idx="5">
                  <c:v>Customer Support</c:v>
                </c:pt>
                <c:pt idx="6">
                  <c:v>Legal &amp; Compliance</c:v>
                </c:pt>
                <c:pt idx="7">
                  <c:v>Supply Chain</c:v>
                </c:pt>
                <c:pt idx="8">
                  <c:v>Product Management</c:v>
                </c:pt>
                <c:pt idx="9">
                  <c:v>Executive / Corporate</c:v>
                </c:pt>
              </c:strCache>
            </c:strRef>
          </c:cat>
          <c:val>
            <c:numRef>
              <c:f>'Dept Data'!$F$4:$F$13</c:f>
              <c:numCache>
                <c:formatCode>0.0</c:formatCode>
                <c:ptCount val="10"/>
                <c:pt idx="0">
                  <c:v>68.2</c:v>
                </c:pt>
                <c:pt idx="1">
                  <c:v>52.4</c:v>
                </c:pt>
                <c:pt idx="2">
                  <c:v>78.5</c:v>
                </c:pt>
                <c:pt idx="3">
                  <c:v>32.1</c:v>
                </c:pt>
                <c:pt idx="4">
                  <c:v>18.6</c:v>
                </c:pt>
                <c:pt idx="5">
                  <c:v>28.9</c:v>
                </c:pt>
                <c:pt idx="6">
                  <c:v>22.4</c:v>
                </c:pt>
                <c:pt idx="7">
                  <c:v>31.8</c:v>
                </c:pt>
                <c:pt idx="8">
                  <c:v>14.2</c:v>
                </c:pt>
                <c:pt idx="9">
                  <c:v>6.3</c:v>
                </c:pt>
              </c:numCache>
            </c:numRef>
          </c:val>
        </c:ser>
        <c:gapWidth val="150"/>
        <c:overlap val="0"/>
        <c:axId val="39907665"/>
        <c:axId val="8877961"/>
      </c:barChart>
      <c:catAx>
        <c:axId val="3990766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77961"/>
        <c:crosses val="autoZero"/>
        <c:auto val="1"/>
        <c:lblAlgn val="ctr"/>
        <c:lblOffset val="100"/>
        <c:noMultiLvlLbl val="0"/>
      </c:catAx>
      <c:valAx>
        <c:axId val="88779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Payroll (₦ Million)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90766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Performance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Performance!B3</c:f>
              <c:strCache>
                <c:ptCount val="1"/>
                <c:pt idx="0">
                  <c:v>Employee 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0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0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0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0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0"/>
            <c:showSerName val="1"/>
            <c:showPercent val="1"/>
            <c:separator>; </c:separator>
            <c:showLeaderLines val="1"/>
          </c:dLbls>
          <c:cat>
            <c:strRef>
              <c:f>Performance!$A$4:$A$7</c:f>
              <c:strCache>
                <c:ptCount val="4"/>
                <c:pt idx="0">
                  <c:v>Exceeds Expectations</c:v>
                </c:pt>
                <c:pt idx="1">
                  <c:v>Meets Expectations</c:v>
                </c:pt>
                <c:pt idx="2">
                  <c:v>Needs Improvement</c:v>
                </c:pt>
                <c:pt idx="3">
                  <c:v>Unsatisfactory</c:v>
                </c:pt>
              </c:strCache>
            </c:strRef>
          </c:cat>
          <c:val>
            <c:numRef>
              <c:f>Performance!$B$4:$B$7</c:f>
              <c:numCache>
                <c:formatCode>General</c:formatCode>
                <c:ptCount val="4"/>
                <c:pt idx="0">
                  <c:v>98</c:v>
                </c:pt>
                <c:pt idx="1">
                  <c:v>420</c:v>
                </c:pt>
                <c:pt idx="2">
                  <c:v>140</c:v>
                </c:pt>
                <c:pt idx="3">
                  <c:v>42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Headcount by Location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Location!B3</c:f>
              <c:strCache>
                <c:ptCount val="1"/>
                <c:pt idx="0">
                  <c:v>Current HC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Location!$A$4:$A$9</c:f>
              <c:strCache>
                <c:ptCount val="6"/>
                <c:pt idx="0">
                  <c:v>Lagos HQ</c:v>
                </c:pt>
                <c:pt idx="1">
                  <c:v>Abuja</c:v>
                </c:pt>
                <c:pt idx="2">
                  <c:v>Port Harcourt</c:v>
                </c:pt>
                <c:pt idx="3">
                  <c:v>Ibadan</c:v>
                </c:pt>
                <c:pt idx="4">
                  <c:v>Kano</c:v>
                </c:pt>
                <c:pt idx="5">
                  <c:v>Remote / Hybrid</c:v>
                </c:pt>
              </c:strCache>
            </c:strRef>
          </c:cat>
          <c:val>
            <c:numRef>
              <c:f>Location!$B$4:$B$9</c:f>
              <c:numCache>
                <c:formatCode>General</c:formatCode>
                <c:ptCount val="6"/>
                <c:pt idx="0">
                  <c:v>285</c:v>
                </c:pt>
                <c:pt idx="1">
                  <c:v>120</c:v>
                </c:pt>
                <c:pt idx="2">
                  <c:v>95</c:v>
                </c:pt>
                <c:pt idx="3">
                  <c:v>68</c:v>
                </c:pt>
                <c:pt idx="4">
                  <c:v>55</c:v>
                </c:pt>
                <c:pt idx="5">
                  <c:v>77</c:v>
                </c:pt>
              </c:numCache>
            </c:numRef>
          </c:val>
        </c:ser>
        <c:gapWidth val="150"/>
        <c:overlap val="0"/>
        <c:axId val="84709697"/>
        <c:axId val="29375829"/>
      </c:barChart>
      <c:catAx>
        <c:axId val="8470969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375829"/>
        <c:crosses val="autoZero"/>
        <c:auto val="1"/>
        <c:lblAlgn val="ctr"/>
        <c:lblOffset val="100"/>
        <c:noMultiLvlLbl val="0"/>
      </c:catAx>
      <c:valAx>
        <c:axId val="2937582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Headcount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70969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11</xdr:row>
      <xdr:rowOff>100800</xdr:rowOff>
    </xdr:from>
    <xdr:to>
      <xdr:col>6</xdr:col>
      <xdr:colOff>183600</xdr:colOff>
      <xdr:row>28</xdr:row>
      <xdr:rowOff>101880</xdr:rowOff>
    </xdr:to>
    <xdr:graphicFrame>
      <xdr:nvGraphicFramePr>
        <xdr:cNvPr id="0" name="Chart 1"/>
        <xdr:cNvGraphicFramePr/>
      </xdr:nvGraphicFramePr>
      <xdr:xfrm>
        <a:off x="211320" y="266688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11</xdr:row>
      <xdr:rowOff>100800</xdr:rowOff>
    </xdr:from>
    <xdr:to>
      <xdr:col>11</xdr:col>
      <xdr:colOff>639360</xdr:colOff>
      <xdr:row>28</xdr:row>
      <xdr:rowOff>101880</xdr:rowOff>
    </xdr:to>
    <xdr:graphicFrame>
      <xdr:nvGraphicFramePr>
        <xdr:cNvPr id="1" name="Chart 2"/>
        <xdr:cNvGraphicFramePr/>
      </xdr:nvGraphicFramePr>
      <xdr:xfrm>
        <a:off x="7400880" y="2666880"/>
        <a:ext cx="35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26</xdr:row>
      <xdr:rowOff>101160</xdr:rowOff>
    </xdr:from>
    <xdr:to>
      <xdr:col>6</xdr:col>
      <xdr:colOff>183600</xdr:colOff>
      <xdr:row>43</xdr:row>
      <xdr:rowOff>102240</xdr:rowOff>
    </xdr:to>
    <xdr:graphicFrame>
      <xdr:nvGraphicFramePr>
        <xdr:cNvPr id="2" name="Chart 3"/>
        <xdr:cNvGraphicFramePr/>
      </xdr:nvGraphicFramePr>
      <xdr:xfrm>
        <a:off x="211320" y="552456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0</xdr:colOff>
      <xdr:row>26</xdr:row>
      <xdr:rowOff>101160</xdr:rowOff>
    </xdr:from>
    <xdr:to>
      <xdr:col>13</xdr:col>
      <xdr:colOff>606600</xdr:colOff>
      <xdr:row>43</xdr:row>
      <xdr:rowOff>102240</xdr:rowOff>
    </xdr:to>
    <xdr:graphicFrame>
      <xdr:nvGraphicFramePr>
        <xdr:cNvPr id="3" name="Chart 4"/>
        <xdr:cNvGraphicFramePr/>
      </xdr:nvGraphicFramePr>
      <xdr:xfrm>
        <a:off x="7400880" y="552456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41</xdr:row>
      <xdr:rowOff>100800</xdr:rowOff>
    </xdr:from>
    <xdr:to>
      <xdr:col>4</xdr:col>
      <xdr:colOff>357120</xdr:colOff>
      <xdr:row>58</xdr:row>
      <xdr:rowOff>72000</xdr:rowOff>
    </xdr:to>
    <xdr:graphicFrame>
      <xdr:nvGraphicFramePr>
        <xdr:cNvPr id="4" name="Chart 5"/>
        <xdr:cNvGraphicFramePr/>
      </xdr:nvGraphicFramePr>
      <xdr:xfrm>
        <a:off x="211320" y="8381880"/>
        <a:ext cx="35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8</xdr:col>
      <xdr:colOff>0</xdr:colOff>
      <xdr:row>41</xdr:row>
      <xdr:rowOff>100800</xdr:rowOff>
    </xdr:from>
    <xdr:to>
      <xdr:col>12</xdr:col>
      <xdr:colOff>372600</xdr:colOff>
      <xdr:row>58</xdr:row>
      <xdr:rowOff>72000</xdr:rowOff>
    </xdr:to>
    <xdr:graphicFrame>
      <xdr:nvGraphicFramePr>
        <xdr:cNvPr id="5" name="Chart 6"/>
        <xdr:cNvGraphicFramePr/>
      </xdr:nvGraphicFramePr>
      <xdr:xfrm>
        <a:off x="7400880" y="8381880"/>
        <a:ext cx="43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8"/>
    <col collapsed="false" customWidth="true" hidden="false" outlineLevel="0" max="12" min="3" style="0" width="14"/>
    <col collapsed="false" customWidth="true" hidden="false" outlineLevel="0" max="14" min="13" style="0" width="12"/>
  </cols>
  <sheetData>
    <row r="1" customFormat="false" ht="7.5" hidden="false" customHeight="true" outlineLevel="0" collapsed="false"/>
    <row r="2" customFormat="false" ht="30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18" hidden="false" customHeight="true" outlineLevel="0" collapsed="false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7.5" hidden="false" customHeight="true" outlineLevel="0" collapsed="false"/>
    <row r="5" customFormat="false" ht="21.75" hidden="false" customHeight="true" outlineLevel="0" collapsed="false">
      <c r="B5" s="3" t="s">
        <v>2</v>
      </c>
      <c r="C5" s="3"/>
      <c r="D5" s="3"/>
      <c r="E5" s="4" t="s">
        <v>3</v>
      </c>
      <c r="F5" s="4"/>
      <c r="G5" s="4"/>
      <c r="H5" s="5" t="s">
        <v>4</v>
      </c>
      <c r="I5" s="5"/>
      <c r="J5" s="5"/>
      <c r="K5" s="6" t="s">
        <v>5</v>
      </c>
      <c r="L5" s="6"/>
    </row>
    <row r="6" customFormat="false" ht="21.75" hidden="false" customHeight="true" outlineLevel="0" collapsed="false">
      <c r="B6" s="7" t="n">
        <v>700</v>
      </c>
      <c r="C6" s="7"/>
      <c r="D6" s="7"/>
      <c r="E6" s="8" t="n">
        <v>743</v>
      </c>
      <c r="F6" s="8"/>
      <c r="G6" s="8"/>
      <c r="H6" s="9" t="n">
        <v>43</v>
      </c>
      <c r="I6" s="9"/>
      <c r="J6" s="9"/>
      <c r="K6" s="10" t="n">
        <v>150</v>
      </c>
      <c r="L6" s="10"/>
    </row>
    <row r="7" customFormat="false" ht="21.75" hidden="false" customHeight="true" outlineLevel="0" collapsed="false">
      <c r="B7" s="11" t="s">
        <v>6</v>
      </c>
      <c r="C7" s="11"/>
      <c r="D7" s="11"/>
      <c r="E7" s="12" t="s">
        <v>6</v>
      </c>
      <c r="F7" s="12"/>
      <c r="G7" s="12"/>
      <c r="H7" s="13" t="s">
        <v>7</v>
      </c>
      <c r="I7" s="13"/>
      <c r="J7" s="13"/>
      <c r="K7" s="14" t="s">
        <v>6</v>
      </c>
      <c r="L7" s="14"/>
    </row>
    <row r="8" customFormat="false" ht="21.75" hidden="false" customHeight="true" outlineLevel="0" collapsed="false"/>
    <row r="9" customFormat="false" ht="15" hidden="false" customHeight="true" outlineLevel="0" collapsed="false">
      <c r="B9" s="15" t="s">
        <v>8</v>
      </c>
      <c r="C9" s="15"/>
      <c r="D9" s="15"/>
      <c r="E9" s="16" t="s">
        <v>9</v>
      </c>
      <c r="F9" s="16"/>
      <c r="G9" s="16"/>
      <c r="H9" s="5" t="s">
        <v>10</v>
      </c>
      <c r="I9" s="5"/>
      <c r="J9" s="5"/>
      <c r="K9" s="6" t="s">
        <v>11</v>
      </c>
      <c r="L9" s="6"/>
    </row>
    <row r="10" customFormat="false" ht="22.05" hidden="false" customHeight="true" outlineLevel="0" collapsed="false">
      <c r="B10" s="17" t="n">
        <v>291</v>
      </c>
      <c r="C10" s="17"/>
      <c r="D10" s="17"/>
      <c r="E10" s="18" t="s">
        <v>12</v>
      </c>
      <c r="F10" s="18"/>
      <c r="G10" s="18"/>
      <c r="H10" s="19" t="s">
        <v>13</v>
      </c>
      <c r="I10" s="19"/>
      <c r="J10" s="19"/>
      <c r="K10" s="20" t="s">
        <v>14</v>
      </c>
      <c r="L10" s="20"/>
    </row>
    <row r="11" customFormat="false" ht="15" hidden="false" customHeight="true" outlineLevel="0" collapsed="false">
      <c r="B11" s="21" t="s">
        <v>6</v>
      </c>
      <c r="C11" s="21"/>
      <c r="D11" s="21"/>
      <c r="E11" s="22"/>
      <c r="F11" s="22"/>
      <c r="G11" s="22"/>
      <c r="H11" s="23"/>
      <c r="I11" s="23"/>
      <c r="J11" s="23"/>
      <c r="K11" s="24"/>
      <c r="L11" s="24"/>
    </row>
    <row r="55" customFormat="false" ht="17.35" hidden="false" customHeight="false" outlineLevel="0" collapsed="false">
      <c r="B55" s="25" t="s">
        <v>15</v>
      </c>
    </row>
    <row r="56" customFormat="false" ht="15" hidden="false" customHeight="true" outlineLevel="0" collapsed="false">
      <c r="B56" s="26" t="s">
        <v>16</v>
      </c>
      <c r="C56" s="26"/>
      <c r="D56" s="26"/>
      <c r="E56" s="26"/>
      <c r="F56" s="26"/>
      <c r="G56" s="26"/>
      <c r="H56" s="26"/>
      <c r="I56" s="26"/>
      <c r="J56" s="26"/>
      <c r="K56" s="26"/>
      <c r="L56" s="26"/>
    </row>
    <row r="57" customFormat="false" ht="15" hidden="false" customHeight="false" outlineLevel="0" collapsed="false"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</row>
    <row r="58" customFormat="false" ht="15" hidden="false" customHeight="false" outlineLevel="0" collapsed="false"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</row>
  </sheetData>
  <mergeCells count="27">
    <mergeCell ref="B2:L2"/>
    <mergeCell ref="B3:L3"/>
    <mergeCell ref="B5:D5"/>
    <mergeCell ref="E5:G5"/>
    <mergeCell ref="H5:J5"/>
    <mergeCell ref="K5:L5"/>
    <mergeCell ref="B6:D6"/>
    <mergeCell ref="E6:G6"/>
    <mergeCell ref="H6:J6"/>
    <mergeCell ref="K6:L6"/>
    <mergeCell ref="B7:D7"/>
    <mergeCell ref="E7:G7"/>
    <mergeCell ref="H7:J7"/>
    <mergeCell ref="K7:L7"/>
    <mergeCell ref="B9:D9"/>
    <mergeCell ref="E9:G9"/>
    <mergeCell ref="H9:J9"/>
    <mergeCell ref="K9:L9"/>
    <mergeCell ref="B10:D10"/>
    <mergeCell ref="E10:G10"/>
    <mergeCell ref="H10:J10"/>
    <mergeCell ref="K10:L10"/>
    <mergeCell ref="B11:D11"/>
    <mergeCell ref="E11:G11"/>
    <mergeCell ref="H11:J11"/>
    <mergeCell ref="K11:L11"/>
    <mergeCell ref="B56:L5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7" min="2" style="0" width="16"/>
  </cols>
  <sheetData>
    <row r="1" customFormat="false" ht="22.05" hidden="false" customHeight="false" outlineLevel="0" collapsed="false">
      <c r="A1" s="27" t="s">
        <v>17</v>
      </c>
      <c r="B1" s="27"/>
      <c r="C1" s="27"/>
      <c r="D1" s="27"/>
      <c r="E1" s="27"/>
      <c r="F1" s="27"/>
      <c r="G1" s="27"/>
    </row>
    <row r="3" customFormat="false" ht="26.85" hidden="false" customHeight="false" outlineLevel="0" collapsed="false">
      <c r="A3" s="28" t="s">
        <v>18</v>
      </c>
      <c r="B3" s="28" t="s">
        <v>19</v>
      </c>
      <c r="C3" s="28" t="s">
        <v>20</v>
      </c>
      <c r="D3" s="28" t="s">
        <v>21</v>
      </c>
      <c r="E3" s="28" t="s">
        <v>22</v>
      </c>
      <c r="F3" s="28" t="s">
        <v>23</v>
      </c>
      <c r="G3" s="28" t="s">
        <v>24</v>
      </c>
    </row>
    <row r="4" customFormat="false" ht="15" hidden="false" customHeight="false" outlineLevel="0" collapsed="false">
      <c r="A4" s="29" t="s">
        <v>25</v>
      </c>
      <c r="B4" s="30" t="n">
        <v>145</v>
      </c>
      <c r="C4" s="30" t="n">
        <v>155</v>
      </c>
      <c r="D4" s="30" t="n">
        <v>10</v>
      </c>
      <c r="E4" s="31" t="n">
        <v>0.0645</v>
      </c>
      <c r="F4" s="32" t="n">
        <v>68.2</v>
      </c>
      <c r="G4" s="30" t="n">
        <v>32</v>
      </c>
    </row>
    <row r="5" customFormat="false" ht="15" hidden="false" customHeight="false" outlineLevel="0" collapsed="false">
      <c r="A5" s="33" t="s">
        <v>26</v>
      </c>
      <c r="B5" s="34" t="n">
        <v>98</v>
      </c>
      <c r="C5" s="34" t="n">
        <v>110</v>
      </c>
      <c r="D5" s="34" t="n">
        <v>12</v>
      </c>
      <c r="E5" s="35" t="n">
        <v>0.1091</v>
      </c>
      <c r="F5" s="36" t="n">
        <v>52.4</v>
      </c>
      <c r="G5" s="34" t="n">
        <v>28</v>
      </c>
    </row>
    <row r="6" customFormat="false" ht="15" hidden="false" customHeight="false" outlineLevel="0" collapsed="false">
      <c r="A6" s="29" t="s">
        <v>27</v>
      </c>
      <c r="B6" s="30" t="n">
        <v>112</v>
      </c>
      <c r="C6" s="30" t="n">
        <v>120</v>
      </c>
      <c r="D6" s="30" t="n">
        <v>8</v>
      </c>
      <c r="E6" s="31" t="n">
        <v>0.0667</v>
      </c>
      <c r="F6" s="32" t="n">
        <v>78.5</v>
      </c>
      <c r="G6" s="30" t="n">
        <v>18</v>
      </c>
    </row>
    <row r="7" customFormat="false" ht="15" hidden="false" customHeight="false" outlineLevel="0" collapsed="false">
      <c r="A7" s="33" t="s">
        <v>28</v>
      </c>
      <c r="B7" s="34" t="n">
        <v>55</v>
      </c>
      <c r="C7" s="34" t="n">
        <v>58</v>
      </c>
      <c r="D7" s="34" t="n">
        <v>3</v>
      </c>
      <c r="E7" s="35" t="n">
        <v>0.0517</v>
      </c>
      <c r="F7" s="36" t="n">
        <v>32.1</v>
      </c>
      <c r="G7" s="34" t="n">
        <v>8</v>
      </c>
    </row>
    <row r="8" customFormat="false" ht="15" hidden="false" customHeight="false" outlineLevel="0" collapsed="false">
      <c r="A8" s="29" t="s">
        <v>29</v>
      </c>
      <c r="B8" s="30" t="n">
        <v>42</v>
      </c>
      <c r="C8" s="30" t="n">
        <v>45</v>
      </c>
      <c r="D8" s="30" t="n">
        <v>3</v>
      </c>
      <c r="E8" s="31" t="n">
        <v>0.0667</v>
      </c>
      <c r="F8" s="32" t="n">
        <v>18.6</v>
      </c>
      <c r="G8" s="30" t="n">
        <v>6</v>
      </c>
    </row>
    <row r="9" customFormat="false" ht="15" hidden="false" customHeight="false" outlineLevel="0" collapsed="false">
      <c r="A9" s="33" t="s">
        <v>30</v>
      </c>
      <c r="B9" s="34" t="n">
        <v>88</v>
      </c>
      <c r="C9" s="34" t="n">
        <v>95</v>
      </c>
      <c r="D9" s="34" t="n">
        <v>7</v>
      </c>
      <c r="E9" s="35" t="n">
        <v>0.0737</v>
      </c>
      <c r="F9" s="36" t="n">
        <v>28.9</v>
      </c>
      <c r="G9" s="34" t="n">
        <v>25</v>
      </c>
    </row>
    <row r="10" customFormat="false" ht="15" hidden="false" customHeight="false" outlineLevel="0" collapsed="false">
      <c r="A10" s="29" t="s">
        <v>31</v>
      </c>
      <c r="B10" s="30" t="n">
        <v>28</v>
      </c>
      <c r="C10" s="30" t="n">
        <v>30</v>
      </c>
      <c r="D10" s="30" t="n">
        <v>2</v>
      </c>
      <c r="E10" s="31" t="n">
        <v>0.0667</v>
      </c>
      <c r="F10" s="32" t="n">
        <v>22.4</v>
      </c>
      <c r="G10" s="30" t="n">
        <v>4</v>
      </c>
    </row>
    <row r="11" customFormat="false" ht="15" hidden="false" customHeight="false" outlineLevel="0" collapsed="false">
      <c r="A11" s="33" t="s">
        <v>32</v>
      </c>
      <c r="B11" s="34" t="n">
        <v>72</v>
      </c>
      <c r="C11" s="34" t="n">
        <v>75</v>
      </c>
      <c r="D11" s="34" t="n">
        <v>3</v>
      </c>
      <c r="E11" s="35" t="n">
        <v>0.04</v>
      </c>
      <c r="F11" s="36" t="n">
        <v>31.8</v>
      </c>
      <c r="G11" s="34" t="n">
        <v>15</v>
      </c>
    </row>
    <row r="12" customFormat="false" ht="15" hidden="false" customHeight="false" outlineLevel="0" collapsed="false">
      <c r="A12" s="29" t="s">
        <v>33</v>
      </c>
      <c r="B12" s="30" t="n">
        <v>35</v>
      </c>
      <c r="C12" s="30" t="n">
        <v>35</v>
      </c>
      <c r="D12" s="30" t="n">
        <v>0</v>
      </c>
      <c r="E12" s="31" t="n">
        <v>0</v>
      </c>
      <c r="F12" s="32" t="n">
        <v>14.2</v>
      </c>
      <c r="G12" s="30" t="n">
        <v>8</v>
      </c>
    </row>
    <row r="13" customFormat="false" ht="15" hidden="false" customHeight="false" outlineLevel="0" collapsed="false">
      <c r="A13" s="33" t="s">
        <v>34</v>
      </c>
      <c r="B13" s="34" t="n">
        <v>25</v>
      </c>
      <c r="C13" s="34" t="n">
        <v>20</v>
      </c>
      <c r="D13" s="34" t="n">
        <v>-5</v>
      </c>
      <c r="E13" s="35" t="n">
        <v>-0.25</v>
      </c>
      <c r="F13" s="36" t="n">
        <v>6.3</v>
      </c>
      <c r="G13" s="34" t="n">
        <v>6</v>
      </c>
    </row>
    <row r="14" customFormat="false" ht="15" hidden="false" customHeight="false" outlineLevel="0" collapsed="false">
      <c r="A14" s="37" t="s">
        <v>35</v>
      </c>
      <c r="B14" s="37" t="n">
        <f aca="false">SUM(B4:B13)</f>
        <v>700</v>
      </c>
      <c r="C14" s="37" t="n">
        <f aca="false">SUM(C4:C13)</f>
        <v>743</v>
      </c>
      <c r="D14" s="37" t="n">
        <f aca="false">SUM(D4:D13)</f>
        <v>43</v>
      </c>
      <c r="E14" s="38" t="n">
        <f aca="false">D14/C14</f>
        <v>0.0578734858681023</v>
      </c>
      <c r="F14" s="39" t="n">
        <f aca="false">SUM(F4:F13)</f>
        <v>353.4</v>
      </c>
      <c r="G14" s="37" t="n">
        <f aca="false">SUM(G4:G13)</f>
        <v>150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8"/>
    <col collapsed="false" customWidth="true" hidden="false" outlineLevel="0" max="4" min="4" style="0" width="40"/>
  </cols>
  <sheetData>
    <row r="1" customFormat="false" ht="22.05" hidden="false" customHeight="false" outlineLevel="0" collapsed="false">
      <c r="A1" s="27" t="s">
        <v>36</v>
      </c>
      <c r="B1" s="27"/>
      <c r="C1" s="27"/>
      <c r="D1" s="27"/>
    </row>
    <row r="3" customFormat="false" ht="15" hidden="false" customHeight="false" outlineLevel="0" collapsed="false">
      <c r="A3" s="28" t="s">
        <v>37</v>
      </c>
      <c r="B3" s="28" t="s">
        <v>38</v>
      </c>
      <c r="C3" s="28" t="s">
        <v>39</v>
      </c>
      <c r="D3" s="28" t="s">
        <v>40</v>
      </c>
    </row>
    <row r="4" customFormat="false" ht="15" hidden="false" customHeight="false" outlineLevel="0" collapsed="false">
      <c r="A4" s="40" t="s">
        <v>41</v>
      </c>
      <c r="B4" s="40" t="n">
        <v>380</v>
      </c>
      <c r="C4" s="41" t="n">
        <v>0.5429</v>
      </c>
      <c r="D4" s="42" t="s">
        <v>42</v>
      </c>
    </row>
    <row r="5" customFormat="false" ht="15" hidden="false" customHeight="false" outlineLevel="0" collapsed="false">
      <c r="A5" s="43" t="s">
        <v>43</v>
      </c>
      <c r="B5" s="43" t="n">
        <v>170</v>
      </c>
      <c r="C5" s="44" t="n">
        <v>0.2429</v>
      </c>
      <c r="D5" s="45" t="s">
        <v>44</v>
      </c>
    </row>
    <row r="6" customFormat="false" ht="15" hidden="false" customHeight="false" outlineLevel="0" collapsed="false">
      <c r="A6" s="46" t="s">
        <v>45</v>
      </c>
      <c r="B6" s="46" t="n">
        <v>150</v>
      </c>
      <c r="C6" s="47" t="n">
        <v>0.2143</v>
      </c>
      <c r="D6" s="48" t="s">
        <v>46</v>
      </c>
    </row>
    <row r="7" customFormat="false" ht="15" hidden="false" customHeight="false" outlineLevel="0" collapsed="false">
      <c r="A7" s="49" t="s">
        <v>35</v>
      </c>
      <c r="B7" s="49" t="n">
        <f aca="false">SUM(B4:B6)</f>
        <v>700</v>
      </c>
      <c r="C7" s="50" t="n">
        <f aca="false">SUM(C4:C6)</f>
        <v>1.0001</v>
      </c>
      <c r="D7" s="49"/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22"/>
    <col collapsed="false" customWidth="true" hidden="false" outlineLevel="0" max="4" min="4" style="0" width="35"/>
  </cols>
  <sheetData>
    <row r="1" customFormat="false" ht="22.05" hidden="false" customHeight="false" outlineLevel="0" collapsed="false">
      <c r="A1" s="27" t="s">
        <v>47</v>
      </c>
      <c r="B1" s="27"/>
      <c r="C1" s="27"/>
      <c r="D1" s="27"/>
    </row>
    <row r="3" customFormat="false" ht="15" hidden="false" customHeight="false" outlineLevel="0" collapsed="false">
      <c r="A3" s="28" t="s">
        <v>48</v>
      </c>
      <c r="B3" s="28" t="s">
        <v>38</v>
      </c>
      <c r="C3" s="28" t="s">
        <v>39</v>
      </c>
      <c r="D3" s="28" t="s">
        <v>49</v>
      </c>
    </row>
    <row r="4" customFormat="false" ht="15" hidden="false" customHeight="false" outlineLevel="0" collapsed="false">
      <c r="A4" s="40" t="s">
        <v>50</v>
      </c>
      <c r="B4" s="40" t="n">
        <v>98</v>
      </c>
      <c r="C4" s="41" t="n">
        <v>0.14</v>
      </c>
      <c r="D4" s="42" t="s">
        <v>51</v>
      </c>
    </row>
    <row r="5" customFormat="false" ht="15" hidden="false" customHeight="false" outlineLevel="0" collapsed="false">
      <c r="A5" s="51" t="s">
        <v>52</v>
      </c>
      <c r="B5" s="51" t="n">
        <v>420</v>
      </c>
      <c r="C5" s="52" t="n">
        <v>0.6</v>
      </c>
      <c r="D5" s="53" t="s">
        <v>53</v>
      </c>
    </row>
    <row r="6" customFormat="false" ht="15" hidden="false" customHeight="false" outlineLevel="0" collapsed="false">
      <c r="A6" s="43" t="s">
        <v>54</v>
      </c>
      <c r="B6" s="43" t="n">
        <v>140</v>
      </c>
      <c r="C6" s="44" t="n">
        <v>0.2</v>
      </c>
      <c r="D6" s="45" t="s">
        <v>55</v>
      </c>
    </row>
    <row r="7" customFormat="false" ht="15" hidden="false" customHeight="false" outlineLevel="0" collapsed="false">
      <c r="A7" s="46" t="s">
        <v>56</v>
      </c>
      <c r="B7" s="46" t="n">
        <v>42</v>
      </c>
      <c r="C7" s="47" t="n">
        <v>0.06</v>
      </c>
      <c r="D7" s="48" t="s">
        <v>57</v>
      </c>
    </row>
    <row r="8" customFormat="false" ht="15" hidden="false" customHeight="false" outlineLevel="0" collapsed="false">
      <c r="A8" s="54" t="s">
        <v>35</v>
      </c>
      <c r="B8" s="54" t="n">
        <f aca="false">SUM(B4:B7)</f>
        <v>700</v>
      </c>
      <c r="C8" s="55" t="n">
        <f aca="false">SUM(C4:C7)</f>
        <v>1</v>
      </c>
      <c r="D8" s="54"/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8"/>
  </cols>
  <sheetData>
    <row r="1" customFormat="false" ht="22.05" hidden="false" customHeight="false" outlineLevel="0" collapsed="false">
      <c r="A1" s="27" t="s">
        <v>58</v>
      </c>
      <c r="B1" s="27"/>
      <c r="C1" s="27"/>
      <c r="D1" s="27"/>
    </row>
    <row r="3" customFormat="false" ht="15" hidden="false" customHeight="false" outlineLevel="0" collapsed="false">
      <c r="A3" s="28" t="s">
        <v>59</v>
      </c>
      <c r="B3" s="28" t="s">
        <v>19</v>
      </c>
      <c r="C3" s="28" t="s">
        <v>60</v>
      </c>
      <c r="D3" s="28" t="s">
        <v>20</v>
      </c>
    </row>
    <row r="4" customFormat="false" ht="15" hidden="false" customHeight="false" outlineLevel="0" collapsed="false">
      <c r="A4" s="29" t="s">
        <v>61</v>
      </c>
      <c r="B4" s="30" t="n">
        <v>285</v>
      </c>
      <c r="C4" s="31" t="n">
        <v>0.4071</v>
      </c>
      <c r="D4" s="30" t="n">
        <v>300</v>
      </c>
    </row>
    <row r="5" customFormat="false" ht="15" hidden="false" customHeight="false" outlineLevel="0" collapsed="false">
      <c r="A5" s="33" t="s">
        <v>62</v>
      </c>
      <c r="B5" s="34" t="n">
        <v>120</v>
      </c>
      <c r="C5" s="35" t="n">
        <v>0.1714</v>
      </c>
      <c r="D5" s="34" t="n">
        <v>130</v>
      </c>
    </row>
    <row r="6" customFormat="false" ht="15" hidden="false" customHeight="false" outlineLevel="0" collapsed="false">
      <c r="A6" s="29" t="s">
        <v>63</v>
      </c>
      <c r="B6" s="30" t="n">
        <v>95</v>
      </c>
      <c r="C6" s="31" t="n">
        <v>0.1357</v>
      </c>
      <c r="D6" s="30" t="n">
        <v>100</v>
      </c>
    </row>
    <row r="7" customFormat="false" ht="15" hidden="false" customHeight="false" outlineLevel="0" collapsed="false">
      <c r="A7" s="33" t="s">
        <v>64</v>
      </c>
      <c r="B7" s="34" t="n">
        <v>68</v>
      </c>
      <c r="C7" s="35" t="n">
        <v>0.0971</v>
      </c>
      <c r="D7" s="34" t="n">
        <v>70</v>
      </c>
    </row>
    <row r="8" customFormat="false" ht="15" hidden="false" customHeight="false" outlineLevel="0" collapsed="false">
      <c r="A8" s="29" t="s">
        <v>65</v>
      </c>
      <c r="B8" s="30" t="n">
        <v>55</v>
      </c>
      <c r="C8" s="31" t="n">
        <v>0.0786</v>
      </c>
      <c r="D8" s="30" t="n">
        <v>60</v>
      </c>
    </row>
    <row r="9" customFormat="false" ht="15" hidden="false" customHeight="false" outlineLevel="0" collapsed="false">
      <c r="A9" s="33" t="s">
        <v>66</v>
      </c>
      <c r="B9" s="34" t="n">
        <v>77</v>
      </c>
      <c r="C9" s="35" t="n">
        <v>0.11</v>
      </c>
      <c r="D9" s="34" t="n">
        <v>83</v>
      </c>
    </row>
    <row r="10" customFormat="false" ht="15" hidden="false" customHeight="false" outlineLevel="0" collapsed="false">
      <c r="A10" s="49" t="s">
        <v>35</v>
      </c>
      <c r="B10" s="49" t="n">
        <f aca="false">SUM(B4:B9)</f>
        <v>700</v>
      </c>
      <c r="C10" s="50" t="n">
        <f aca="false">SUM(C4:C9)</f>
        <v>0.9999</v>
      </c>
      <c r="D10" s="49" t="n">
        <f aca="false">SUM(D4:D9)</f>
        <v>743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6"/>
  </cols>
  <sheetData>
    <row r="1" customFormat="false" ht="22.05" hidden="false" customHeight="false" outlineLevel="0" collapsed="false">
      <c r="A1" s="27" t="s">
        <v>67</v>
      </c>
      <c r="B1" s="27"/>
      <c r="C1" s="27"/>
      <c r="D1" s="27"/>
      <c r="E1" s="27"/>
    </row>
    <row r="3" customFormat="false" ht="26.85" hidden="false" customHeight="false" outlineLevel="0" collapsed="false">
      <c r="A3" s="28" t="s">
        <v>68</v>
      </c>
      <c r="B3" s="28" t="s">
        <v>69</v>
      </c>
      <c r="C3" s="28" t="s">
        <v>70</v>
      </c>
      <c r="D3" s="28" t="s">
        <v>71</v>
      </c>
      <c r="E3" s="28" t="s">
        <v>72</v>
      </c>
    </row>
    <row r="4" customFormat="false" ht="15" hidden="false" customHeight="false" outlineLevel="0" collapsed="false">
      <c r="A4" s="29" t="s">
        <v>73</v>
      </c>
      <c r="B4" s="30" t="n">
        <v>72</v>
      </c>
      <c r="C4" s="31" t="n">
        <v>0.2474</v>
      </c>
      <c r="D4" s="29" t="s">
        <v>74</v>
      </c>
      <c r="E4" s="32" t="n">
        <v>4.2</v>
      </c>
    </row>
    <row r="5" customFormat="false" ht="15" hidden="false" customHeight="false" outlineLevel="0" collapsed="false">
      <c r="A5" s="33" t="s">
        <v>75</v>
      </c>
      <c r="B5" s="34" t="n">
        <v>48</v>
      </c>
      <c r="C5" s="35" t="n">
        <v>0.1649</v>
      </c>
      <c r="D5" s="33" t="s">
        <v>26</v>
      </c>
      <c r="E5" s="36" t="n">
        <v>5.1</v>
      </c>
    </row>
    <row r="6" customFormat="false" ht="15" hidden="false" customHeight="false" outlineLevel="0" collapsed="false">
      <c r="A6" s="29" t="s">
        <v>76</v>
      </c>
      <c r="B6" s="30" t="n">
        <v>55</v>
      </c>
      <c r="C6" s="31" t="n">
        <v>0.189</v>
      </c>
      <c r="D6" s="29" t="s">
        <v>25</v>
      </c>
      <c r="E6" s="32" t="n">
        <v>6.3</v>
      </c>
    </row>
    <row r="7" customFormat="false" ht="15" hidden="false" customHeight="false" outlineLevel="0" collapsed="false">
      <c r="A7" s="33" t="s">
        <v>77</v>
      </c>
      <c r="B7" s="34" t="n">
        <v>22</v>
      </c>
      <c r="C7" s="35" t="n">
        <v>0.0756</v>
      </c>
      <c r="D7" s="33" t="s">
        <v>28</v>
      </c>
      <c r="E7" s="36" t="n">
        <v>7</v>
      </c>
    </row>
    <row r="8" customFormat="false" ht="15" hidden="false" customHeight="false" outlineLevel="0" collapsed="false">
      <c r="A8" s="29" t="s">
        <v>78</v>
      </c>
      <c r="B8" s="30" t="n">
        <v>35</v>
      </c>
      <c r="C8" s="31" t="n">
        <v>0.1203</v>
      </c>
      <c r="D8" s="29" t="s">
        <v>30</v>
      </c>
      <c r="E8" s="32" t="n">
        <v>3.8</v>
      </c>
    </row>
    <row r="9" customFormat="false" ht="15" hidden="false" customHeight="false" outlineLevel="0" collapsed="false">
      <c r="A9" s="33" t="s">
        <v>79</v>
      </c>
      <c r="B9" s="34" t="n">
        <v>28</v>
      </c>
      <c r="C9" s="35" t="n">
        <v>0.0962</v>
      </c>
      <c r="D9" s="33" t="s">
        <v>32</v>
      </c>
      <c r="E9" s="36" t="n">
        <v>4.5</v>
      </c>
    </row>
    <row r="10" customFormat="false" ht="15" hidden="false" customHeight="false" outlineLevel="0" collapsed="false">
      <c r="A10" s="29" t="s">
        <v>80</v>
      </c>
      <c r="B10" s="30" t="n">
        <v>12</v>
      </c>
      <c r="C10" s="31" t="n">
        <v>0.0412</v>
      </c>
      <c r="D10" s="29" t="s">
        <v>81</v>
      </c>
      <c r="E10" s="32" t="n">
        <v>8.2</v>
      </c>
    </row>
    <row r="11" customFormat="false" ht="15" hidden="false" customHeight="false" outlineLevel="0" collapsed="false">
      <c r="A11" s="33" t="s">
        <v>82</v>
      </c>
      <c r="B11" s="34" t="n">
        <v>19</v>
      </c>
      <c r="C11" s="35" t="n">
        <v>0.0653</v>
      </c>
      <c r="D11" s="33" t="s">
        <v>83</v>
      </c>
      <c r="E11" s="36" t="n">
        <v>3.5</v>
      </c>
    </row>
    <row r="12" customFormat="false" ht="15" hidden="false" customHeight="false" outlineLevel="0" collapsed="false">
      <c r="A12" s="56" t="s">
        <v>35</v>
      </c>
      <c r="B12" s="56" t="n">
        <f aca="false">SUM(B4:B11)</f>
        <v>291</v>
      </c>
      <c r="C12" s="57" t="n">
        <f aca="false">SUM(C4:C11)</f>
        <v>0.9999</v>
      </c>
      <c r="D12" s="56"/>
      <c r="E12" s="56"/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5"/>
    <col collapsed="false" customWidth="true" hidden="false" outlineLevel="0" max="3" min="3" style="0" width="20"/>
    <col collapsed="false" customWidth="true" hidden="false" outlineLevel="0" max="4" min="4" style="0" width="55"/>
    <col collapsed="false" customWidth="true" hidden="false" outlineLevel="0" max="5" min="5" style="0" width="22"/>
    <col collapsed="false" customWidth="true" hidden="false" outlineLevel="0" max="6" min="6" style="0" width="18"/>
  </cols>
  <sheetData>
    <row r="1" customFormat="false" ht="22.05" hidden="false" customHeight="false" outlineLevel="0" collapsed="false">
      <c r="A1" s="27" t="s">
        <v>84</v>
      </c>
      <c r="B1" s="27"/>
      <c r="C1" s="27"/>
      <c r="D1" s="27"/>
      <c r="E1" s="27"/>
      <c r="F1" s="27"/>
    </row>
    <row r="3" customFormat="false" ht="15" hidden="false" customHeight="false" outlineLevel="0" collapsed="false">
      <c r="A3" s="28" t="s">
        <v>85</v>
      </c>
      <c r="B3" s="28" t="s">
        <v>86</v>
      </c>
      <c r="C3" s="28" t="s">
        <v>87</v>
      </c>
      <c r="D3" s="28" t="s">
        <v>88</v>
      </c>
      <c r="E3" s="28" t="s">
        <v>89</v>
      </c>
      <c r="F3" s="28" t="s">
        <v>90</v>
      </c>
    </row>
    <row r="4" customFormat="false" ht="54.75" hidden="false" customHeight="true" outlineLevel="0" collapsed="false">
      <c r="A4" s="58" t="s">
        <v>91</v>
      </c>
      <c r="B4" s="59" t="s">
        <v>92</v>
      </c>
      <c r="C4" s="59" t="s">
        <v>93</v>
      </c>
      <c r="D4" s="59" t="s">
        <v>94</v>
      </c>
      <c r="E4" s="59" t="s">
        <v>95</v>
      </c>
      <c r="F4" s="59" t="s">
        <v>96</v>
      </c>
    </row>
    <row r="5" customFormat="false" ht="54.75" hidden="false" customHeight="true" outlineLevel="0" collapsed="false">
      <c r="A5" s="58" t="s">
        <v>91</v>
      </c>
      <c r="B5" s="60" t="s">
        <v>97</v>
      </c>
      <c r="C5" s="60" t="s">
        <v>98</v>
      </c>
      <c r="D5" s="60" t="s">
        <v>99</v>
      </c>
      <c r="E5" s="60" t="s">
        <v>100</v>
      </c>
      <c r="F5" s="60" t="s">
        <v>101</v>
      </c>
    </row>
    <row r="6" customFormat="false" ht="54.75" hidden="false" customHeight="true" outlineLevel="0" collapsed="false">
      <c r="A6" s="61" t="s">
        <v>102</v>
      </c>
      <c r="B6" s="59" t="s">
        <v>103</v>
      </c>
      <c r="C6" s="59" t="s">
        <v>104</v>
      </c>
      <c r="D6" s="59" t="s">
        <v>105</v>
      </c>
      <c r="E6" s="59" t="s">
        <v>106</v>
      </c>
      <c r="F6" s="59" t="s">
        <v>107</v>
      </c>
    </row>
    <row r="7" customFormat="false" ht="54.75" hidden="false" customHeight="true" outlineLevel="0" collapsed="false">
      <c r="A7" s="61" t="s">
        <v>102</v>
      </c>
      <c r="B7" s="60" t="s">
        <v>108</v>
      </c>
      <c r="C7" s="60" t="s">
        <v>109</v>
      </c>
      <c r="D7" s="60" t="s">
        <v>110</v>
      </c>
      <c r="E7" s="60" t="s">
        <v>111</v>
      </c>
      <c r="F7" s="60" t="s">
        <v>112</v>
      </c>
    </row>
    <row r="8" customFormat="false" ht="54.75" hidden="false" customHeight="true" outlineLevel="0" collapsed="false">
      <c r="A8" s="61" t="s">
        <v>102</v>
      </c>
      <c r="B8" s="59" t="s">
        <v>113</v>
      </c>
      <c r="C8" s="59" t="s">
        <v>114</v>
      </c>
      <c r="D8" s="59" t="s">
        <v>115</v>
      </c>
      <c r="E8" s="59" t="s">
        <v>116</v>
      </c>
      <c r="F8" s="59" t="s">
        <v>117</v>
      </c>
    </row>
    <row r="9" customFormat="false" ht="54.75" hidden="false" customHeight="true" outlineLevel="0" collapsed="false">
      <c r="A9" s="62" t="s">
        <v>118</v>
      </c>
      <c r="B9" s="60" t="s">
        <v>119</v>
      </c>
      <c r="C9" s="60" t="s">
        <v>120</v>
      </c>
      <c r="D9" s="60" t="s">
        <v>121</v>
      </c>
      <c r="E9" s="60" t="s">
        <v>122</v>
      </c>
      <c r="F9" s="60" t="s">
        <v>123</v>
      </c>
    </row>
    <row r="10" customFormat="false" ht="54.75" hidden="false" customHeight="true" outlineLevel="0" collapsed="false">
      <c r="A10" s="58" t="s">
        <v>91</v>
      </c>
      <c r="B10" s="59" t="s">
        <v>124</v>
      </c>
      <c r="C10" s="59" t="s">
        <v>125</v>
      </c>
      <c r="D10" s="59" t="s">
        <v>126</v>
      </c>
      <c r="E10" s="59" t="s">
        <v>127</v>
      </c>
      <c r="F10" s="59" t="s">
        <v>128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2026-09-29T07:07:02Z</dcterms:created>
  <dc:creator>openpyxl</dc:creator>
  <dc:description/>
  <dc:language>en-US</dc:language>
  <cp:lastModifiedBy/>
  <dcterms:modified xsi:type="dcterms:W3CDTF">2026-09-29T07:07:08Z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