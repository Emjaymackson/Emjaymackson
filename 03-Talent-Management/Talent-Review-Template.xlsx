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alent Review" sheetId="2" state="visible" r:id="rId4"/>
    <sheet name="9-Box Matrix" sheetId="3" state="visible" r:id="rId5"/>
    <sheet name="Succession Planning" sheetId="4" state="visible" r:id="rId6"/>
    <sheet name="IDP Tracker" sheetId="5" state="visible" r:id="rId7"/>
    <sheet name="Talent Dashboard" sheetId="6" state="visible" r:id="rId8"/>
  </sheets>
  <definedNames>
    <definedName function="false" hidden="true" localSheetId="4" name="_xlnm._FilterDatabase" vbProcedure="false">'IDP Tracker'!$A$4:$L$14</definedName>
    <definedName function="false" hidden="true" localSheetId="3" name="_xlnm._FilterDatabase" vbProcedure="false">'Succession Planning'!$A$4:$N$12</definedName>
    <definedName function="false" hidden="true" localSheetId="1" name="_xlnm._FilterDatabase" vbProcedure="false">'Talent Review'!$A$4:$R$16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<sst xmlns="http://schemas.openxmlformats.org/spreadsheetml/2006/main" count="560" uniqueCount="380">
  <si>
    <t xml:space="preserve">TALENT REVIEW WORKBOOK — USER GUIDE</t>
  </si>
  <si>
    <t xml:space="preserve">Purpose</t>
  </si>
  <si>
    <t xml:space="preserve">This workbook supports the annual / quarterly talent review process: assess employees, place them on the 9-box, plan succession for critical roles, track individual development plans, and provide HRBP-ready metrics.</t>
  </si>
  <si>
    <t xml:space="preserve">Sheet Overview</t>
  </si>
  <si>
    <t xml:space="preserve">Sheet</t>
  </si>
  <si>
    <t xml:space="preserve">Description</t>
  </si>
  <si>
    <t xml:space="preserve">Instructions</t>
  </si>
  <si>
    <t xml:space="preserve">This guide (you are here).</t>
  </si>
  <si>
    <t xml:space="preserve">Talent Review</t>
  </si>
  <si>
    <t xml:space="preserve">Master list of employees with Performance (1-5), Potential (1-5), Flight Risk, Readiness, strengths, development areas, and aspirations. 9-Box Position is calculated automatically.</t>
  </si>
  <si>
    <t xml:space="preserve">9-Box Matrix</t>
  </si>
  <si>
    <t xml:space="preserve">Visual 3×3 grid of Performance × Potential with counts and employee lists. Distribution summary included.</t>
  </si>
  <si>
    <t xml:space="preserve">Succession Planning</t>
  </si>
  <si>
    <t xml:space="preserve">Critical roles, incumbents, flight risk, up to 3 successors with readiness and development gaps.</t>
  </si>
  <si>
    <t xml:space="preserve">IDP Tracker</t>
  </si>
  <si>
    <t xml:space="preserve">Development goals and actions linked to talent outcomes, with status and progress tracking.</t>
  </si>
  <si>
    <t xml:space="preserve">Talent Dashboard</t>
  </si>
  <si>
    <t xml:space="preserve">KPI cards, 9-box distribution, flight risk, readiness, department averages, and charts for leadership reviews.</t>
  </si>
  <si>
    <t xml:space="preserve">Rating Scales</t>
  </si>
  <si>
    <t xml:space="preserve">Performance &amp; Potential: 1 = Low / Below expectations · 2 = Partially meets · 3 = Meets expectations · 4 = Exceeds · 5 = Outstanding / Role model</t>
  </si>
  <si>
    <t xml:space="preserve">9-Box labels: Star (H/H) · High Performer (H/M) · Solid Professional (H/L) · High Potential (M/H) · Core Player (M/M) · Inconsistent (M/L) · Rough Diamond (L/H) · Risk (L/M) · Underperformer (L/L)</t>
  </si>
  <si>
    <t xml:space="preserve">Color Convention</t>
  </si>
  <si>
    <t xml:space="preserve">Yellow cells + blue text</t>
  </si>
  <si>
    <t xml:space="preserve">Editable inputs (change these)</t>
  </si>
  <si>
    <t xml:space="preserve">Green / light blue cells</t>
  </si>
  <si>
    <t xml:space="preserve">Formulas — do not overwrite</t>
  </si>
  <si>
    <t xml:space="preserve">Red / Orange / Green fills on risk</t>
  </si>
  <si>
    <t xml:space="preserve">Conditional visual cues for risk and criticality</t>
  </si>
  <si>
    <t xml:space="preserve">Recommended Process</t>
  </si>
  <si>
    <t xml:space="preserve">1. Managers complete Performance &amp; Potential ratings and comments on Talent Review before the calibration meeting.</t>
  </si>
  <si>
    <t xml:space="preserve">2. Calibration session: review 9-Box placements, challenge ratings, agree final positions.</t>
  </si>
  <si>
    <t xml:space="preserve">3. Update Succession Planning for critical roles; identify gaps and development priorities.</t>
  </si>
  <si>
    <t xml:space="preserve">4. Create or refresh IDPs for Stars, High Potentials, and anyone with material development needs.</t>
  </si>
  <si>
    <t xml:space="preserve">5. Use Talent Dashboard in leadership reviews; track progress quarterly.</t>
  </si>
  <si>
    <t xml:space="preserve">TALENT REVIEW — Employee Assessment</t>
  </si>
  <si>
    <t xml:space="preserve">Cycle: FY2026 Q1  |  Last Updated: 2026-09-29  |  Instructions: Blue text = editable inputs. Use dropdowns where provided.</t>
  </si>
  <si>
    <t xml:space="preserve">Employee ID</t>
  </si>
  <si>
    <t xml:space="preserve">Employee Name</t>
  </si>
  <si>
    <t xml:space="preserve">Job Title</t>
  </si>
  <si>
    <t xml:space="preserve">Department</t>
  </si>
  <si>
    <t xml:space="preserve">Manager</t>
  </si>
  <si>
    <t xml:space="preserve">Hire Date</t>
  </si>
  <si>
    <t xml:space="preserve">Years in Role</t>
  </si>
  <si>
    <t xml:space="preserve">Performance Rating</t>
  </si>
  <si>
    <t xml:space="preserve">Potential Rating</t>
  </si>
  <si>
    <t xml:space="preserve">9-Box Position</t>
  </si>
  <si>
    <t xml:space="preserve">Flight Risk</t>
  </si>
  <si>
    <t xml:space="preserve">Readiness for Promotion</t>
  </si>
  <si>
    <t xml:space="preserve">Key Strengths</t>
  </si>
  <si>
    <t xml:space="preserve">Development Areas</t>
  </si>
  <si>
    <t xml:space="preserve">Career Aspirations</t>
  </si>
  <si>
    <t xml:space="preserve">Retention Risk Notes</t>
  </si>
  <si>
    <t xml:space="preserve">Last Review Date</t>
  </si>
  <si>
    <t xml:space="preserve">Reviewer</t>
  </si>
  <si>
    <t xml:space="preserve">E001</t>
  </si>
  <si>
    <t xml:space="preserve">Amara Okonkwo</t>
  </si>
  <si>
    <t xml:space="preserve">Senior Software Engineer</t>
  </si>
  <si>
    <t xml:space="preserve">Engineering</t>
  </si>
  <si>
    <t xml:space="preserve">James Adeyemi</t>
  </si>
  <si>
    <t xml:space="preserve">2019-03-15</t>
  </si>
  <si>
    <t xml:space="preserve">Medium</t>
  </si>
  <si>
    <t xml:space="preserve">Ready in 1-2 years</t>
  </si>
  <si>
    <t xml:space="preserve">System design, mentoring, delivery</t>
  </si>
  <si>
    <t xml:space="preserve">Executive presence, stakeholder mgmt</t>
  </si>
  <si>
    <t xml:space="preserve">Engineering Manager</t>
  </si>
  <si>
    <t xml:space="preserve">Competitive offers in market</t>
  </si>
  <si>
    <t xml:space="preserve">2025-11-20</t>
  </si>
  <si>
    <t xml:space="preserve">E002</t>
  </si>
  <si>
    <t xml:space="preserve">Chidi Nwosu</t>
  </si>
  <si>
    <t xml:space="preserve">Product Manager</t>
  </si>
  <si>
    <t xml:space="preserve">Product</t>
  </si>
  <si>
    <t xml:space="preserve">Sarah Bello</t>
  </si>
  <si>
    <t xml:space="preserve">2020-07-01</t>
  </si>
  <si>
    <t xml:space="preserve">Low</t>
  </si>
  <si>
    <t xml:space="preserve">Ready now</t>
  </si>
  <si>
    <t xml:space="preserve">Strategic thinking, customer empathy</t>
  </si>
  <si>
    <t xml:space="preserve">Technical depth</t>
  </si>
  <si>
    <t xml:space="preserve">Head of Product</t>
  </si>
  <si>
    <t xml:space="preserve">High performer, low risk</t>
  </si>
  <si>
    <t xml:space="preserve">2025-11-18</t>
  </si>
  <si>
    <t xml:space="preserve">E003</t>
  </si>
  <si>
    <t xml:space="preserve">Fatima Ibrahim</t>
  </si>
  <si>
    <t xml:space="preserve">Finance Analyst</t>
  </si>
  <si>
    <t xml:space="preserve">Finance</t>
  </si>
  <si>
    <t xml:space="preserve">Tunde Bakare</t>
  </si>
  <si>
    <t xml:space="preserve">2021-01-10</t>
  </si>
  <si>
    <t xml:space="preserve">Ready in 2-3 years</t>
  </si>
  <si>
    <t xml:space="preserve">Attention to detail, Excel mastery</t>
  </si>
  <si>
    <t xml:space="preserve">Business partnering, storytelling</t>
  </si>
  <si>
    <t xml:space="preserve">FP&amp;A Manager</t>
  </si>
  <si>
    <t xml:space="preserve">2025-11-22</t>
  </si>
  <si>
    <t xml:space="preserve">E004</t>
  </si>
  <si>
    <t xml:space="preserve">Kemi Adebayo</t>
  </si>
  <si>
    <t xml:space="preserve">HR Business Partner</t>
  </si>
  <si>
    <t xml:space="preserve">People</t>
  </si>
  <si>
    <t xml:space="preserve">Ngozi Eze</t>
  </si>
  <si>
    <t xml:space="preserve">2018-05-20</t>
  </si>
  <si>
    <t xml:space="preserve">Coaching, talent processes</t>
  </si>
  <si>
    <t xml:space="preserve">Data analytics, change leadership</t>
  </si>
  <si>
    <t xml:space="preserve">Head of Talent</t>
  </si>
  <si>
    <t xml:space="preserve">Sought after externally</t>
  </si>
  <si>
    <t xml:space="preserve">2025-11-15</t>
  </si>
  <si>
    <t xml:space="preserve">E005</t>
  </si>
  <si>
    <t xml:space="preserve">Oluwaseun Ojo</t>
  </si>
  <si>
    <t xml:space="preserve">Sales Lead</t>
  </si>
  <si>
    <t xml:space="preserve">Sales</t>
  </si>
  <si>
    <t xml:space="preserve">Ibrahim Musa</t>
  </si>
  <si>
    <t xml:space="preserve">2017-09-01</t>
  </si>
  <si>
    <t xml:space="preserve">High</t>
  </si>
  <si>
    <t xml:space="preserve">Client relationships, closing</t>
  </si>
  <si>
    <t xml:space="preserve">Strategic account planning</t>
  </si>
  <si>
    <t xml:space="preserve">Regional Sales Director</t>
  </si>
  <si>
    <t xml:space="preserve">Has expressed interest in leaving</t>
  </si>
  <si>
    <t xml:space="preserve">2025-11-25</t>
  </si>
  <si>
    <t xml:space="preserve">E006</t>
  </si>
  <si>
    <t xml:space="preserve">Blessing Eze</t>
  </si>
  <si>
    <t xml:space="preserve">Data Scientist</t>
  </si>
  <si>
    <t xml:space="preserve">Analytics</t>
  </si>
  <si>
    <t xml:space="preserve">2022-02-14</t>
  </si>
  <si>
    <t xml:space="preserve">ML models, experimentation</t>
  </si>
  <si>
    <t xml:space="preserve">Business communication</t>
  </si>
  <si>
    <t xml:space="preserve">Lead Data Scientist</t>
  </si>
  <si>
    <t xml:space="preserve">2025-11-19</t>
  </si>
  <si>
    <t xml:space="preserve">E007</t>
  </si>
  <si>
    <t xml:space="preserve">David Okoro</t>
  </si>
  <si>
    <t xml:space="preserve">Operations Manager</t>
  </si>
  <si>
    <t xml:space="preserve">Operations</t>
  </si>
  <si>
    <t xml:space="preserve">Grace Okonkwo</t>
  </si>
  <si>
    <t xml:space="preserve">2016-11-30</t>
  </si>
  <si>
    <t xml:space="preserve">Not ready</t>
  </si>
  <si>
    <t xml:space="preserve">Process discipline, team leadership</t>
  </si>
  <si>
    <t xml:space="preserve">Innovation, digital fluency</t>
  </si>
  <si>
    <t xml:space="preserve">Stay in role / lateral</t>
  </si>
  <si>
    <t xml:space="preserve">Long tenure, may seek change</t>
  </si>
  <si>
    <t xml:space="preserve">2025-11-21</t>
  </si>
  <si>
    <t xml:space="preserve">E008</t>
  </si>
  <si>
    <t xml:space="preserve">Aisha Mohammed</t>
  </si>
  <si>
    <t xml:space="preserve">Marketing Manager</t>
  </si>
  <si>
    <t xml:space="preserve">Marketing</t>
  </si>
  <si>
    <t xml:space="preserve">2019-08-12</t>
  </si>
  <si>
    <t xml:space="preserve">Brand strategy, campaigns</t>
  </si>
  <si>
    <t xml:space="preserve">ROI measurement, analytics</t>
  </si>
  <si>
    <t xml:space="preserve">Head of Marketing</t>
  </si>
  <si>
    <t xml:space="preserve">2025-11-17</t>
  </si>
  <si>
    <t xml:space="preserve">E009</t>
  </si>
  <si>
    <t xml:space="preserve">Emeka Obi</t>
  </si>
  <si>
    <t xml:space="preserve">Legal Counsel</t>
  </si>
  <si>
    <t xml:space="preserve">Legal</t>
  </si>
  <si>
    <t xml:space="preserve">2020-04-01</t>
  </si>
  <si>
    <t xml:space="preserve">Contract review, compliance</t>
  </si>
  <si>
    <t xml:space="preserve">Commercial negotiation</t>
  </si>
  <si>
    <t xml:space="preserve">Senior Counsel</t>
  </si>
  <si>
    <t xml:space="preserve">2025-11-23</t>
  </si>
  <si>
    <t xml:space="preserve">E010</t>
  </si>
  <si>
    <t xml:space="preserve">Head of Operations</t>
  </si>
  <si>
    <t xml:space="preserve">CEO</t>
  </si>
  <si>
    <t xml:space="preserve">2015-01-15</t>
  </si>
  <si>
    <t xml:space="preserve">Cross-functional leadership, scaling</t>
  </si>
  <si>
    <t xml:space="preserve">Board-level communication</t>
  </si>
  <si>
    <t xml:space="preserve">COO track</t>
  </si>
  <si>
    <t xml:space="preserve">Critical role holder</t>
  </si>
  <si>
    <t xml:space="preserve">2025-11-10</t>
  </si>
  <si>
    <t xml:space="preserve">E011</t>
  </si>
  <si>
    <t xml:space="preserve">Head of Sales</t>
  </si>
  <si>
    <t xml:space="preserve">2014-06-01</t>
  </si>
  <si>
    <t xml:space="preserve">Revenue growth, team building</t>
  </si>
  <si>
    <t xml:space="preserve">Strategic planning, digital sales</t>
  </si>
  <si>
    <t xml:space="preserve">Commercial Director</t>
  </si>
  <si>
    <t xml:space="preserve">High value, moderate flight risk</t>
  </si>
  <si>
    <t xml:space="preserve">2025-11-12</t>
  </si>
  <si>
    <t xml:space="preserve">E012</t>
  </si>
  <si>
    <t xml:space="preserve">CHRO</t>
  </si>
  <si>
    <t xml:space="preserve">2013-03-01</t>
  </si>
  <si>
    <t xml:space="preserve">Org design, culture, talent strategy</t>
  </si>
  <si>
    <t xml:space="preserve">External market brand</t>
  </si>
  <si>
    <t xml:space="preserve">Continue as CHRO / Board</t>
  </si>
  <si>
    <t xml:space="preserve">Key executive</t>
  </si>
  <si>
    <t xml:space="preserve">2025-11-08</t>
  </si>
  <si>
    <t xml:space="preserve">Legend &amp; Rating Scales</t>
  </si>
  <si>
    <t xml:space="preserve">Performance &amp; Potential: 1 = Low | 2 = Below Expectations | 3 = Meets Expectations | 4 = Exceeds | 5 = Outstanding</t>
  </si>
  <si>
    <t xml:space="preserve">9-Box: Auto-calculated from Performance × Potential. Stars = High Perf + High Pot. Underperformers = Low Perf + Low Pot.</t>
  </si>
  <si>
    <t xml:space="preserve">Yellow cells = editable inputs (blue text). Green cells = formulas (do not overwrite).</t>
  </si>
  <si>
    <t xml:space="preserve">9-BOX TALENT MATRIX — Performance × Potential</t>
  </si>
  <si>
    <t xml:space="preserve">Employees are auto-placed from the Talent Review sheet. Update ratings there; this view refreshes via formulas.</t>
  </si>
  <si>
    <t xml:space="preserve">← PERFORMANCE</t>
  </si>
  <si>
    <t xml:space="preserve">EMPLOYEES BY 9-BOX POSITION</t>
  </si>
  <si>
    <t xml:space="preserve">POTENTIAL →</t>
  </si>
  <si>
    <t xml:space="preserve">LOW POTENTIAL (1-2)</t>
  </si>
  <si>
    <t xml:space="preserve">MEDIUM POTENTIAL (3)</t>
  </si>
  <si>
    <t xml:space="preserve">HIGH POTENTIAL (4-5)</t>
  </si>
  <si>
    <t xml:space="preserve">Dept</t>
  </si>
  <si>
    <t xml:space="preserve">Perf</t>
  </si>
  <si>
    <t xml:space="preserve">Pot</t>
  </si>
  <si>
    <t xml:space="preserve">HIGH
PERFORMANCE
(4-5)</t>
  </si>
  <si>
    <t xml:space="preserve">SOLID PROFESSIONAL</t>
  </si>
  <si>
    <t xml:space="preserve">HIGH PERFORMER</t>
  </si>
  <si>
    <t xml:space="preserve">STAR</t>
  </si>
  <si>
    <t xml:space="preserve">(see list →)</t>
  </si>
  <si>
    <t xml:space="preserve">MEDIUM
PERFORMANCE
(3)</t>
  </si>
  <si>
    <t xml:space="preserve">INCONSISTENT</t>
  </si>
  <si>
    <t xml:space="preserve">CORE PLAYER</t>
  </si>
  <si>
    <t xml:space="preserve">HIGH POTENTIAL</t>
  </si>
  <si>
    <t xml:space="preserve">LOW
PERFORMANCE
(1-2)</t>
  </si>
  <si>
    <t xml:space="preserve">UNDERPERFORMER</t>
  </si>
  <si>
    <t xml:space="preserve">RISK</t>
  </si>
  <si>
    <t xml:space="preserve">ROUGH DIAMOND</t>
  </si>
  <si>
    <t xml:space="preserve">How to use</t>
  </si>
  <si>
    <t xml:space="preserve">BOX DISTRIBUTION SUMMARY</t>
  </si>
  <si>
    <t xml:space="preserve">1. Update Performance &amp; Potential ratings on the Talent Review sheet (columns H &amp; I).</t>
  </si>
  <si>
    <t xml:space="preserve">Position</t>
  </si>
  <si>
    <t xml:space="preserve">Count</t>
  </si>
  <si>
    <t xml:space="preserve">% of Total</t>
  </si>
  <si>
    <t xml:space="preserve">2. 9-Box Position auto-calculates. This matrix and the lists update automatically.</t>
  </si>
  <si>
    <t xml:space="preserve">Star</t>
  </si>
  <si>
    <t xml:space="preserve">3. Stars &amp; High Potentials → focus of succession &amp; acceleration. Underperformers → PIPs or exits.</t>
  </si>
  <si>
    <t xml:space="preserve">High Performer</t>
  </si>
  <si>
    <t xml:space="preserve">Solid Professional</t>
  </si>
  <si>
    <t xml:space="preserve">High Potential</t>
  </si>
  <si>
    <t xml:space="preserve">Core Player</t>
  </si>
  <si>
    <t xml:space="preserve">Inconsistent</t>
  </si>
  <si>
    <t xml:space="preserve">Rough Diamond</t>
  </si>
  <si>
    <t xml:space="preserve">Risk</t>
  </si>
  <si>
    <t xml:space="preserve">Underperformer</t>
  </si>
  <si>
    <t xml:space="preserve">Total Employees</t>
  </si>
  <si>
    <t xml:space="preserve">SUCCESSION PLANNING — Critical Roles &amp; Successors</t>
  </si>
  <si>
    <t xml:space="preserve">Identify critical roles, current incumbents, and ready-now / ready-soon successors. Link to Talent Review ratings.</t>
  </si>
  <si>
    <t xml:space="preserve">Critical Role</t>
  </si>
  <si>
    <t xml:space="preserve">Incumbent</t>
  </si>
  <si>
    <t xml:space="preserve">Incumbent Flight Risk</t>
  </si>
  <si>
    <t xml:space="preserve">Role Criticality</t>
  </si>
  <si>
    <t xml:space="preserve">Successor 1 Name</t>
  </si>
  <si>
    <t xml:space="preserve">Successor 1 Readiness</t>
  </si>
  <si>
    <t xml:space="preserve">Successor 1 Gap</t>
  </si>
  <si>
    <t xml:space="preserve">Successor 2 Name</t>
  </si>
  <si>
    <t xml:space="preserve">Successor 2 Readiness</t>
  </si>
  <si>
    <t xml:space="preserve">Successor 2 Gap</t>
  </si>
  <si>
    <t xml:space="preserve">Successor 3 Name</t>
  </si>
  <si>
    <t xml:space="preserve">Successor 3 Readiness</t>
  </si>
  <si>
    <t xml:space="preserve">Successor 3 Gap</t>
  </si>
  <si>
    <t xml:space="preserve">Development Priority / Notes</t>
  </si>
  <si>
    <t xml:space="preserve">Chief Executive Officer</t>
  </si>
  <si>
    <t xml:space="preserve">Current CEO</t>
  </si>
  <si>
    <t xml:space="preserve">Mission Critical</t>
  </si>
  <si>
    <t xml:space="preserve">Board exposure, P&amp;L ownership</t>
  </si>
  <si>
    <t xml:space="preserve">Commercial experience</t>
  </si>
  <si>
    <t xml:space="preserve">Accelerate Grace via special projects &amp; board observer role</t>
  </si>
  <si>
    <t xml:space="preserve">Chief Human Resources Officer</t>
  </si>
  <si>
    <t xml:space="preserve">Strategic HR, external brand</t>
  </si>
  <si>
    <t xml:space="preserve">Kemi is primary successor; expand scope to org design</t>
  </si>
  <si>
    <t xml:space="preserve">Innovation, digital, strategic scope</t>
  </si>
  <si>
    <t xml:space="preserve">Ops domain knowledge</t>
  </si>
  <si>
    <t xml:space="preserve">Consider external search as backup; develop David or lateral</t>
  </si>
  <si>
    <t xml:space="preserve">Strategic planning, digital channels</t>
  </si>
  <si>
    <t xml:space="preserve">High flight risk on incumbent — prioritize bench strength</t>
  </si>
  <si>
    <t xml:space="preserve">Vacant / Interim</t>
  </si>
  <si>
    <t xml:space="preserve">N/A</t>
  </si>
  <si>
    <t xml:space="preserve">None material</t>
  </si>
  <si>
    <t xml:space="preserve">Product domain</t>
  </si>
  <si>
    <t xml:space="preserve">Chidi is ready-now candidate for promotion</t>
  </si>
  <si>
    <t xml:space="preserve">Head of Engineering</t>
  </si>
  <si>
    <t xml:space="preserve">People leadership at scale</t>
  </si>
  <si>
    <t xml:space="preserve">Engineering management experience</t>
  </si>
  <si>
    <t xml:space="preserve">Amara is primary; pair with leadership coach</t>
  </si>
  <si>
    <t xml:space="preserve">Head of Finance / CFO track</t>
  </si>
  <si>
    <t xml:space="preserve">Business partnering, leadership</t>
  </si>
  <si>
    <t xml:space="preserve">Build Fatima via stretch assignments and mentoring</t>
  </si>
  <si>
    <t xml:space="preserve">Sarah Bello (interim)</t>
  </si>
  <si>
    <t xml:space="preserve">P&amp;L / commercial acumen</t>
  </si>
  <si>
    <t xml:space="preserve">Formalize Aisha as successor; expand commercial exposure</t>
  </si>
  <si>
    <t xml:space="preserve">SUCCESSION COVERAGE METRICS</t>
  </si>
  <si>
    <t xml:space="preserve">Total Critical Roles</t>
  </si>
  <si>
    <t xml:space="preserve">Roles with ≥1 Ready-Now Successor</t>
  </si>
  <si>
    <t xml:space="preserve">Roles with High/Medium Incumbent Flight Risk</t>
  </si>
  <si>
    <t xml:space="preserve">Mission Critical Roles</t>
  </si>
  <si>
    <t xml:space="preserve">Note: Coverage formulas are illustrative. Refine with exact ready-now logic per role as needed.</t>
  </si>
  <si>
    <t xml:space="preserve">INDIVIDUAL DEVELOPMENT PLAN (IDP) TRACKER</t>
  </si>
  <si>
    <t xml:space="preserve">Track development actions linked to talent outcomes. Update Status and Progress %. Link employees to Talent Review.</t>
  </si>
  <si>
    <t xml:space="preserve">IDP ID</t>
  </si>
  <si>
    <t xml:space="preserve">Development Goal</t>
  </si>
  <si>
    <t xml:space="preserve">Linked 9-Box / Reason</t>
  </si>
  <si>
    <t xml:space="preserve">Action / Activity</t>
  </si>
  <si>
    <t xml:space="preserve">Owner (Manager/Coach)</t>
  </si>
  <si>
    <t xml:space="preserve">Start Date</t>
  </si>
  <si>
    <t xml:space="preserve">Target Date</t>
  </si>
  <si>
    <t xml:space="preserve">Status</t>
  </si>
  <si>
    <t xml:space="preserve">Progress %</t>
  </si>
  <si>
    <t xml:space="preserve">Evidence / Notes</t>
  </si>
  <si>
    <t xml:space="preserve">IDP-001</t>
  </si>
  <si>
    <t xml:space="preserve">Build executive presence &amp; stakeholder influence</t>
  </si>
  <si>
    <t xml:space="preserve">Star — promotion readiness</t>
  </si>
  <si>
    <t xml:space="preserve">Executive coaching (external) + lead QBR presentation</t>
  </si>
  <si>
    <t xml:space="preserve">2026-01-15</t>
  </si>
  <si>
    <t xml:space="preserve">2026-06-30</t>
  </si>
  <si>
    <t xml:space="preserve">In Progress</t>
  </si>
  <si>
    <t xml:space="preserve">First coaching session completed; QBR scheduled Mar</t>
  </si>
  <si>
    <t xml:space="preserve">IDP-002</t>
  </si>
  <si>
    <t xml:space="preserve">Deepen technical product knowledge</t>
  </si>
  <si>
    <t xml:space="preserve">Star — ready now</t>
  </si>
  <si>
    <t xml:space="preserve">Shadow engineering sprint + complete internal tech curriculum</t>
  </si>
  <si>
    <t xml:space="preserve">2026-01-10</t>
  </si>
  <si>
    <t xml:space="preserve">2026-04-30</t>
  </si>
  <si>
    <t xml:space="preserve">Completed 2 of 4 modules</t>
  </si>
  <si>
    <t xml:space="preserve">IDP-003</t>
  </si>
  <si>
    <t xml:space="preserve">Strengthen people analytics &amp; data storytelling</t>
  </si>
  <si>
    <t xml:space="preserve">High Potential — CHRO track</t>
  </si>
  <si>
    <t xml:space="preserve">Lead workforce planning dashboard project + Tableau training</t>
  </si>
  <si>
    <t xml:space="preserve">2026-02-01</t>
  </si>
  <si>
    <t xml:space="preserve">2026-08-31</t>
  </si>
  <si>
    <t xml:space="preserve">Not Started</t>
  </si>
  <si>
    <t xml:space="preserve">Kickoff scheduled Feb</t>
  </si>
  <si>
    <t xml:space="preserve">IDP-004</t>
  </si>
  <si>
    <t xml:space="preserve">Strategic account planning &amp; digital sales</t>
  </si>
  <si>
    <t xml:space="preserve">High Performer — succession for Head of Sales</t>
  </si>
  <si>
    <t xml:space="preserve">Own strategic plan for top 3 accounts + digital sales pilot</t>
  </si>
  <si>
    <t xml:space="preserve">2026-01-20</t>
  </si>
  <si>
    <t xml:space="preserve">2026-07-31</t>
  </si>
  <si>
    <t xml:space="preserve">Account plans draft due Feb</t>
  </si>
  <si>
    <t xml:space="preserve">IDP-005</t>
  </si>
  <si>
    <t xml:space="preserve">Business communication &amp; stakeholder management</t>
  </si>
  <si>
    <t xml:space="preserve">Star — leadership track</t>
  </si>
  <si>
    <t xml:space="preserve">Present model insights to leadership team quarterly</t>
  </si>
  <si>
    <t xml:space="preserve">2026-01-05</t>
  </si>
  <si>
    <t xml:space="preserve">2026-12-31</t>
  </si>
  <si>
    <t xml:space="preserve">First presentation in Mar</t>
  </si>
  <si>
    <t xml:space="preserve">IDP-006</t>
  </si>
  <si>
    <t xml:space="preserve">Digital fluency &amp; process innovation</t>
  </si>
  <si>
    <t xml:space="preserve">Core/Inconsistent — performance uplift</t>
  </si>
  <si>
    <t xml:space="preserve">Lead automation pilot in ops + digital skills course</t>
  </si>
  <si>
    <t xml:space="preserve">2026-09-30</t>
  </si>
  <si>
    <t xml:space="preserve">Course enrollment pending</t>
  </si>
  <si>
    <t xml:space="preserve">IDP-007</t>
  </si>
  <si>
    <t xml:space="preserve">Commercial / ROI acumen for Head of Marketing track</t>
  </si>
  <si>
    <t xml:space="preserve">Own campaign ROI dashboard + rotate 1 day/week with Sales</t>
  </si>
  <si>
    <t xml:space="preserve">Dashboard live; sales rotation started</t>
  </si>
  <si>
    <t xml:space="preserve">IDP-008</t>
  </si>
  <si>
    <t xml:space="preserve">Business partnering &amp; financial storytelling</t>
  </si>
  <si>
    <t xml:space="preserve">Core Player — FP&amp;A Manager path</t>
  </si>
  <si>
    <t xml:space="preserve">Partner with 1 business unit on monthly forecast narrative</t>
  </si>
  <si>
    <t xml:space="preserve">BU assignment to be confirmed</t>
  </si>
  <si>
    <t xml:space="preserve">IDP-009</t>
  </si>
  <si>
    <t xml:space="preserve">Board-level communication &amp; enterprise P&amp;L</t>
  </si>
  <si>
    <t xml:space="preserve">Star — CEO succession</t>
  </si>
  <si>
    <t xml:space="preserve">Board observer + lead cross-functional transformation program</t>
  </si>
  <si>
    <t xml:space="preserve">2025-10-01</t>
  </si>
  <si>
    <t xml:space="preserve">Attended 2 board sessions; transformation ongoing</t>
  </si>
  <si>
    <t xml:space="preserve">IDP-010</t>
  </si>
  <si>
    <t xml:space="preserve">Strategic planning &amp; digital sales transformation</t>
  </si>
  <si>
    <t xml:space="preserve">High Performer — Commercial Director track</t>
  </si>
  <si>
    <t xml:space="preserve">Own 3-year commercial strategy + digital channel P&amp;L</t>
  </si>
  <si>
    <t xml:space="preserve">2026-01-01</t>
  </si>
  <si>
    <t xml:space="preserve">Strategy outline in progress</t>
  </si>
  <si>
    <t xml:space="preserve">IDP PORTFOLIO SUMMARY</t>
  </si>
  <si>
    <t xml:space="preserve">Total Active IDPs</t>
  </si>
  <si>
    <t xml:space="preserve">Completed</t>
  </si>
  <si>
    <t xml:space="preserve">At Risk</t>
  </si>
  <si>
    <t xml:space="preserve">Average Progress %</t>
  </si>
  <si>
    <t xml:space="preserve">TALENT DASHBOARD — HRBP Metrics &amp; Insights</t>
  </si>
  <si>
    <t xml:space="preserve">Live metrics pulled from Talent Review, 9-Box, Succession, and IDP sheets. Refresh after updating source data.</t>
  </si>
  <si>
    <t xml:space="preserve">Stars</t>
  </si>
  <si>
    <t xml:space="preserve">High Potentials</t>
  </si>
  <si>
    <t xml:space="preserve">High Flight Risk</t>
  </si>
  <si>
    <t xml:space="preserve">Ready-Now Successors</t>
  </si>
  <si>
    <t xml:space="preserve">Active IDPs</t>
  </si>
  <si>
    <t xml:space="preserve">Avg IDP Progress</t>
  </si>
  <si>
    <t xml:space="preserve">9-BOX DISTRIBUTION</t>
  </si>
  <si>
    <t xml:space="preserve">FLIGHT RISK BREAKDOWN</t>
  </si>
  <si>
    <t xml:space="preserve">%</t>
  </si>
  <si>
    <t xml:space="preserve">Risk Level</t>
  </si>
  <si>
    <t xml:space="preserve">PROMOTION READINESS</t>
  </si>
  <si>
    <t xml:space="preserve">Readiness</t>
  </si>
  <si>
    <t xml:space="preserve">Total</t>
  </si>
  <si>
    <t xml:space="preserve">HEADCOUNT BY DEPARTMENT</t>
  </si>
  <si>
    <t xml:space="preserve">Avg Perf</t>
  </si>
  <si>
    <t xml:space="preserve">Avg Pot</t>
  </si>
  <si>
    <t xml:space="preserve">HOW TO USE THIS WORKBOOK</t>
  </si>
  <si>
    <t xml:space="preserve">1. Start on Talent Review: enter/update employee ratings (Performance &amp; Potential are yellow input cells with dropdowns).</t>
  </si>
  <si>
    <t xml:space="preserve">2. 9-Box Position calculates automatically. Review the 9-Box Matrix sheet for visual placement and distribution.</t>
  </si>
  <si>
    <t xml:space="preserve">3. Maintain Succession Planning for critical roles — flag flight risk and name successors with readiness.</t>
  </si>
  <si>
    <t xml:space="preserve">4. Log development actions on IDP Tracker and update Status + Progress % regularly.</t>
  </si>
  <si>
    <t xml:space="preserve">5. Talent Dashboard aggregates KPIs and charts for HRBP / leadership reviews. All metrics are formula-driven.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</si>
</sst>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0\%"/>
    <numFmt numFmtId="168" formatCode="0.0\%"/>
    <numFmt numFmtId="169" formatCode="0.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rgb="FFBDD7EE"/>
        <bgColor rgb="FFD9D9D9"/>
      </patternFill>
    </fill>
    <fill>
      <patternFill patternType="solid">
        <fgColor rgb="FF9DC3E6"/>
        <bgColor rgb="FFBDD7EE"/>
      </patternFill>
    </fill>
    <fill>
      <patternFill patternType="solid">
        <fgColor rgb="FF5B9BD5"/>
        <bgColor rgb="FF4F81BD"/>
      </patternFill>
    </fill>
    <fill>
      <patternFill patternType="solid">
        <fgColor rgb="FFFFFFFF"/>
        <bgColor rgb="FFF9F9F9"/>
      </patternFill>
    </fill>
    <fill>
      <patternFill patternType="solid">
        <fgColor rgb="FFF8CBAD"/>
        <bgColor rgb="FFFFC7CE"/>
      </patternFill>
    </fill>
    <fill>
      <patternFill patternType="solid">
        <fgColor rgb="FFC6EFCE"/>
        <bgColor rgb="FFE2EFDA"/>
      </patternFill>
    </fill>
    <fill>
      <patternFill patternType="solid">
        <fgColor rgb="FFA9D08E"/>
        <bgColor rgb="FFB0B0B0"/>
      </patternFill>
    </fill>
    <fill>
      <patternFill patternType="solid">
        <fgColor rgb="FFFFC7CE"/>
        <bgColor rgb="FFF8CBAD"/>
      </patternFill>
    </fill>
    <fill>
      <patternFill patternType="solid">
        <fgColor rgb="FFF4B183"/>
        <bgColor rgb="FFF8CBAD"/>
      </patternFill>
    </fill>
    <fill>
      <patternFill patternType="solid">
        <fgColor rgb="FFFFE699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D6EAF8"/>
        <bgColor rgb="FFE2EFDA"/>
      </patternFill>
    </fill>
    <fill>
      <patternFill patternType="solid">
        <fgColor rgb="FFF2F2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78787"/>
      <rgbColor rgb="FF5B9BD5"/>
      <rgbColor rgb="FF993366"/>
      <rgbColor rgb="FFFFF2CC"/>
      <rgbColor rgb="FFD6EAF8"/>
      <rgbColor rgb="FF660066"/>
      <rgbColor rgb="FFD9D9D9"/>
      <rgbColor rgb="FF0066CC"/>
      <rgbColor rgb="FFBDD7EE"/>
      <rgbColor rgb="FF000080"/>
      <rgbColor rgb="FFFF00FF"/>
      <rgbColor rgb="FFF9F9F9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699"/>
      <rgbColor rgb="FF9DC3E6"/>
      <rgbColor rgb="FFF4B183"/>
      <rgbColor rgb="FFFFC7CE"/>
      <rgbColor rgb="FFF8CBAD"/>
      <rgbColor rgb="FF4F81BD"/>
      <rgbColor rgb="FF33CCCC"/>
      <rgbColor rgb="FF99CC00"/>
      <rgbColor rgb="FFFCE4D6"/>
      <rgbColor rgb="FFFF9900"/>
      <rgbColor rgb="FFFF6600"/>
      <rgbColor rgb="FF666666"/>
      <rgbColor rgb="FFA9D08E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9-Box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'Talent Dashboard'!B8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'Talent Dashboard'!$A$9:$A$17</c:f>
              <c:strCache>
                <c:ptCount val="9"/>
                <c:pt idx="0">
                  <c:v>Star</c:v>
                </c:pt>
                <c:pt idx="1">
                  <c:v>High Performer</c:v>
                </c:pt>
                <c:pt idx="2">
                  <c:v>Solid Professional</c:v>
                </c:pt>
                <c:pt idx="3">
                  <c:v>High Potential</c:v>
                </c:pt>
                <c:pt idx="4">
                  <c:v>Core Player</c:v>
                </c:pt>
                <c:pt idx="5">
                  <c:v>Inconsistent</c:v>
                </c:pt>
                <c:pt idx="6">
                  <c:v>Rough Diamond</c:v>
                </c:pt>
                <c:pt idx="7">
                  <c:v>Risk</c:v>
                </c:pt>
                <c:pt idx="8">
                  <c:v>Underperformer</c:v>
                </c:pt>
              </c:strCache>
            </c:strRef>
          </c:cat>
          <c:val>
            <c:numRef>
              <c:f>'Talent Dashboard'!$B$9:$B$17</c:f>
              <c:numCache>
                <c:formatCode>General</c:formatCode>
                <c:ptCount val="9"/>
                <c:pt idx="0">
                  <c:v>7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45601861"/>
        <c:axId val="388279"/>
      </c:barChart>
      <c:catAx>
        <c:axId val="456018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8279"/>
        <c:crosses val="autoZero"/>
        <c:auto val="1"/>
        <c:lblAlgn val="ctr"/>
        <c:lblOffset val="100"/>
        <c:noMultiLvlLbl val="0"/>
      </c:catAx>
      <c:valAx>
        <c:axId val="3882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6018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Flight Risk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'Talent Dashboard'!F8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'Talent Dashboard'!$E$9:$E$11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'Talent Dashboard'!$F$9:$F$11</c:f>
              <c:numCache>
                <c:formatCode>General</c:formatCode>
                <c:ptCount val="3"/>
                <c:pt idx="0">
                  <c:v>7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</c:ser>
        <c:gapWidth val="150"/>
        <c:overlap val="0"/>
        <c:axId val="86638787"/>
        <c:axId val="7887809"/>
      </c:barChart>
      <c:catAx>
        <c:axId val="866387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87809"/>
        <c:crosses val="autoZero"/>
        <c:auto val="1"/>
        <c:lblAlgn val="ctr"/>
        <c:lblOffset val="100"/>
        <c:noMultiLvlLbl val="0"/>
      </c:catAx>
      <c:valAx>
        <c:axId val="78878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6387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5</xdr:row>
      <xdr:rowOff>37440</xdr:rowOff>
    </xdr:from>
    <xdr:to>
      <xdr:col>16</xdr:col>
      <xdr:colOff>507600</xdr:colOff>
      <xdr:row>20</xdr:row>
      <xdr:rowOff>59400</xdr:rowOff>
    </xdr:to>
    <xdr:graphicFrame>
      <xdr:nvGraphicFramePr>
        <xdr:cNvPr id="0" name="Chart 1"/>
        <xdr:cNvGraphicFramePr/>
      </xdr:nvGraphicFramePr>
      <xdr:xfrm>
        <a:off x="7095960" y="133344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16</xdr:row>
      <xdr:rowOff>37440</xdr:rowOff>
    </xdr:from>
    <xdr:to>
      <xdr:col>13</xdr:col>
      <xdr:colOff>541800</xdr:colOff>
      <xdr:row>31</xdr:row>
      <xdr:rowOff>59760</xdr:rowOff>
    </xdr:to>
    <xdr:graphicFrame>
      <xdr:nvGraphicFramePr>
        <xdr:cNvPr id="1" name="Chart 2"/>
        <xdr:cNvGraphicFramePr/>
      </xdr:nvGraphicFramePr>
      <xdr:xfrm>
        <a:off x="7095960" y="342900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0"/>
  </cols>
  <sheetData>
    <row r="1" customFormat="false" ht="19.7" hidden="false" customHeight="fals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</row>
    <row r="4" customFormat="false" ht="39.75" hidden="false" customHeight="true" outlineLevel="0" collapsed="false">
      <c r="A4" s="3" t="s">
        <v>2</v>
      </c>
      <c r="B4" s="3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4" t="s">
        <v>4</v>
      </c>
      <c r="B7" s="4" t="s">
        <v>5</v>
      </c>
    </row>
    <row r="8" customFormat="false" ht="34.5" hidden="false" customHeight="true" outlineLevel="0" collapsed="false">
      <c r="A8" s="5" t="s">
        <v>6</v>
      </c>
      <c r="B8" s="6" t="s">
        <v>7</v>
      </c>
    </row>
    <row r="9" customFormat="false" ht="34.5" hidden="false" customHeight="true" outlineLevel="0" collapsed="false">
      <c r="A9" s="5" t="s">
        <v>8</v>
      </c>
      <c r="B9" s="6" t="s">
        <v>9</v>
      </c>
    </row>
    <row r="10" customFormat="false" ht="34.5" hidden="false" customHeight="true" outlineLevel="0" collapsed="false">
      <c r="A10" s="5" t="s">
        <v>10</v>
      </c>
      <c r="B10" s="6" t="s">
        <v>11</v>
      </c>
    </row>
    <row r="11" customFormat="false" ht="34.5" hidden="false" customHeight="true" outlineLevel="0" collapsed="false">
      <c r="A11" s="5" t="s">
        <v>12</v>
      </c>
      <c r="B11" s="6" t="s">
        <v>13</v>
      </c>
    </row>
    <row r="12" customFormat="false" ht="34.5" hidden="false" customHeight="true" outlineLevel="0" collapsed="false">
      <c r="A12" s="5" t="s">
        <v>14</v>
      </c>
      <c r="B12" s="6" t="s">
        <v>15</v>
      </c>
    </row>
    <row r="13" customFormat="false" ht="34.5" hidden="false" customHeight="true" outlineLevel="0" collapsed="false">
      <c r="A13" s="5" t="s">
        <v>16</v>
      </c>
      <c r="B13" s="6" t="s">
        <v>17</v>
      </c>
    </row>
    <row r="15" customFormat="false" ht="15" hidden="false" customHeight="false" outlineLevel="0" collapsed="false">
      <c r="A15" s="2" t="s">
        <v>18</v>
      </c>
    </row>
    <row r="16" customFormat="false" ht="15" hidden="false" customHeight="false" outlineLevel="0" collapsed="false">
      <c r="A16" s="7" t="s">
        <v>19</v>
      </c>
      <c r="B16" s="7"/>
    </row>
    <row r="17" customFormat="false" ht="15" hidden="false" customHeight="false" outlineLevel="0" collapsed="false">
      <c r="A17" s="7" t="s">
        <v>20</v>
      </c>
      <c r="B17" s="7"/>
    </row>
    <row r="19" customFormat="false" ht="15" hidden="false" customHeight="false" outlineLevel="0" collapsed="false">
      <c r="A19" s="2" t="s">
        <v>21</v>
      </c>
    </row>
    <row r="20" customFormat="false" ht="15" hidden="false" customHeight="false" outlineLevel="0" collapsed="false">
      <c r="A20" s="0" t="s">
        <v>22</v>
      </c>
      <c r="B20" s="0" t="s">
        <v>23</v>
      </c>
    </row>
    <row r="21" customFormat="false" ht="15" hidden="false" customHeight="false" outlineLevel="0" collapsed="false">
      <c r="A21" s="0" t="s">
        <v>24</v>
      </c>
      <c r="B21" s="0" t="s">
        <v>25</v>
      </c>
    </row>
    <row r="22" customFormat="false" ht="15" hidden="false" customHeight="false" outlineLevel="0" collapsed="false">
      <c r="A22" s="0" t="s">
        <v>26</v>
      </c>
      <c r="B22" s="0" t="s">
        <v>27</v>
      </c>
    </row>
    <row r="24" customFormat="false" ht="15" hidden="false" customHeight="false" outlineLevel="0" collapsed="false">
      <c r="A24" s="2" t="s">
        <v>28</v>
      </c>
    </row>
    <row r="25" customFormat="false" ht="15" hidden="false" customHeight="false" outlineLevel="0" collapsed="false">
      <c r="A25" s="7" t="s">
        <v>29</v>
      </c>
      <c r="B25" s="7"/>
    </row>
    <row r="26" customFormat="false" ht="15" hidden="false" customHeight="false" outlineLevel="0" collapsed="false">
      <c r="A26" s="7" t="s">
        <v>30</v>
      </c>
      <c r="B26" s="7"/>
    </row>
    <row r="27" customFormat="false" ht="15" hidden="false" customHeight="false" outlineLevel="0" collapsed="false">
      <c r="A27" s="7" t="s">
        <v>31</v>
      </c>
      <c r="B27" s="7"/>
    </row>
    <row r="28" customFormat="false" ht="15" hidden="false" customHeight="false" outlineLevel="0" collapsed="false">
      <c r="A28" s="7" t="s">
        <v>32</v>
      </c>
      <c r="B28" s="7"/>
    </row>
    <row r="29" customFormat="false" ht="15" hidden="false" customHeight="false" outlineLevel="0" collapsed="false">
      <c r="A29" s="7" t="s">
        <v>33</v>
      </c>
      <c r="B29" s="7"/>
    </row>
  </sheetData>
  <mergeCells count="9">
    <mergeCell ref="A1:B1"/>
    <mergeCell ref="A4:B4"/>
    <mergeCell ref="A16:B16"/>
    <mergeCell ref="A17:B17"/>
    <mergeCell ref="A25:B25"/>
    <mergeCell ref="A26:B26"/>
    <mergeCell ref="A27:B27"/>
    <mergeCell ref="A28:B28"/>
    <mergeCell ref="A29:B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9" min="8" style="0" width="14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8"/>
    <col collapsed="false" customWidth="true" hidden="false" outlineLevel="0" max="14" min="13" style="0" width="28"/>
    <col collapsed="false" customWidth="true" hidden="false" outlineLevel="0" max="15" min="15" style="0" width="20"/>
    <col collapsed="false" customWidth="true" hidden="false" outlineLevel="0" max="16" min="16" style="0" width="28"/>
    <col collapsed="false" customWidth="true" hidden="false" outlineLevel="0" max="18" min="17" style="0" width="14"/>
  </cols>
  <sheetData>
    <row r="1" customFormat="false" ht="24" hidden="false" customHeight="true" outlineLevel="0" collapsed="false">
      <c r="A1" s="8" t="s">
        <v>34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customFormat="false" ht="15" hidden="false" customHeight="false" outlineLevel="0" collapsed="false">
      <c r="A2" s="9" t="s">
        <v>35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4" customFormat="false" ht="30" hidden="false" customHeight="true" outlineLevel="0" collapsed="false">
      <c r="A4" s="10" t="s">
        <v>36</v>
      </c>
      <c r="B4" s="10" t="s">
        <v>37</v>
      </c>
      <c r="C4" s="10" t="s">
        <v>38</v>
      </c>
      <c r="D4" s="10" t="s">
        <v>39</v>
      </c>
      <c r="E4" s="10" t="s">
        <v>40</v>
      </c>
      <c r="F4" s="10" t="s">
        <v>41</v>
      </c>
      <c r="G4" s="10" t="s">
        <v>42</v>
      </c>
      <c r="H4" s="10" t="s">
        <v>43</v>
      </c>
      <c r="I4" s="10" t="s">
        <v>44</v>
      </c>
      <c r="J4" s="10" t="s">
        <v>45</v>
      </c>
      <c r="K4" s="10" t="s">
        <v>46</v>
      </c>
      <c r="L4" s="10" t="s">
        <v>47</v>
      </c>
      <c r="M4" s="10" t="s">
        <v>48</v>
      </c>
      <c r="N4" s="10" t="s">
        <v>49</v>
      </c>
      <c r="O4" s="10" t="s">
        <v>50</v>
      </c>
      <c r="P4" s="10" t="s">
        <v>51</v>
      </c>
      <c r="Q4" s="10" t="s">
        <v>52</v>
      </c>
      <c r="R4" s="10" t="s">
        <v>53</v>
      </c>
    </row>
    <row r="5" customFormat="false" ht="34.5" hidden="false" customHeight="true" outlineLevel="0" collapsed="false">
      <c r="A5" s="11" t="s">
        <v>54</v>
      </c>
      <c r="B5" s="12" t="s">
        <v>55</v>
      </c>
      <c r="C5" s="12" t="s">
        <v>56</v>
      </c>
      <c r="D5" s="12" t="s">
        <v>57</v>
      </c>
      <c r="E5" s="12" t="s">
        <v>58</v>
      </c>
      <c r="F5" s="11" t="s">
        <v>59</v>
      </c>
      <c r="G5" s="11" t="n">
        <v>3.5</v>
      </c>
      <c r="H5" s="13" t="n">
        <v>4</v>
      </c>
      <c r="I5" s="13" t="n">
        <v>4</v>
      </c>
      <c r="J5" s="14" t="str">
        <f aca="false">IF(OR(H5="",I5=""),"",IF(AND(H5&gt;=4,I5&gt;=4),"Star",IF(AND(H5&gt;=4,I5=3),"High Performer",IF(AND(H5&gt;=4,I5&lt;=2),"Solid Professional",IF(AND(H5=3,I5&gt;=4),"High Potential",IF(AND(H5=3,I5=3),"Core Player",IF(AND(H5=3,I5&lt;=2),"Inconsistent",IF(AND(H5&lt;=2,I5&gt;=4),"Rough Diamond",IF(AND(H5&lt;=2,I5=3),"Risk","Underperformer")))))))))</f>
        <v>Star</v>
      </c>
      <c r="K5" s="15" t="s">
        <v>60</v>
      </c>
      <c r="L5" s="15" t="s">
        <v>61</v>
      </c>
      <c r="M5" s="16" t="s">
        <v>62</v>
      </c>
      <c r="N5" s="16" t="s">
        <v>63</v>
      </c>
      <c r="O5" s="16" t="s">
        <v>64</v>
      </c>
      <c r="P5" s="16" t="s">
        <v>65</v>
      </c>
      <c r="Q5" s="11" t="s">
        <v>66</v>
      </c>
      <c r="R5" s="12" t="s">
        <v>58</v>
      </c>
    </row>
    <row r="6" customFormat="false" ht="34.5" hidden="false" customHeight="true" outlineLevel="0" collapsed="false">
      <c r="A6" s="11" t="s">
        <v>67</v>
      </c>
      <c r="B6" s="12" t="s">
        <v>68</v>
      </c>
      <c r="C6" s="12" t="s">
        <v>69</v>
      </c>
      <c r="D6" s="12" t="s">
        <v>70</v>
      </c>
      <c r="E6" s="12" t="s">
        <v>71</v>
      </c>
      <c r="F6" s="11" t="s">
        <v>72</v>
      </c>
      <c r="G6" s="11" t="n">
        <v>2</v>
      </c>
      <c r="H6" s="13" t="n">
        <v>5</v>
      </c>
      <c r="I6" s="13" t="n">
        <v>5</v>
      </c>
      <c r="J6" s="14" t="str">
        <f aca="false">IF(OR(H6="",I6=""),"",IF(AND(H6&gt;=4,I6&gt;=4),"Star",IF(AND(H6&gt;=4,I6=3),"High Performer",IF(AND(H6&gt;=4,I6&lt;=2),"Solid Professional",IF(AND(H6=3,I6&gt;=4),"High Potential",IF(AND(H6=3,I6=3),"Core Player",IF(AND(H6=3,I6&lt;=2),"Inconsistent",IF(AND(H6&lt;=2,I6&gt;=4),"Rough Diamond",IF(AND(H6&lt;=2,I6=3),"Risk","Underperformer")))))))))</f>
        <v>Star</v>
      </c>
      <c r="K6" s="15" t="s">
        <v>73</v>
      </c>
      <c r="L6" s="15" t="s">
        <v>74</v>
      </c>
      <c r="M6" s="16" t="s">
        <v>75</v>
      </c>
      <c r="N6" s="16" t="s">
        <v>76</v>
      </c>
      <c r="O6" s="16" t="s">
        <v>77</v>
      </c>
      <c r="P6" s="16" t="s">
        <v>78</v>
      </c>
      <c r="Q6" s="11" t="s">
        <v>79</v>
      </c>
      <c r="R6" s="12" t="s">
        <v>71</v>
      </c>
    </row>
    <row r="7" customFormat="false" ht="34.5" hidden="false" customHeight="true" outlineLevel="0" collapsed="false">
      <c r="A7" s="11" t="s">
        <v>80</v>
      </c>
      <c r="B7" s="12" t="s">
        <v>81</v>
      </c>
      <c r="C7" s="12" t="s">
        <v>82</v>
      </c>
      <c r="D7" s="12" t="s">
        <v>83</v>
      </c>
      <c r="E7" s="12" t="s">
        <v>84</v>
      </c>
      <c r="F7" s="11" t="s">
        <v>85</v>
      </c>
      <c r="G7" s="11" t="n">
        <v>1.5</v>
      </c>
      <c r="H7" s="13" t="n">
        <v>3</v>
      </c>
      <c r="I7" s="13" t="n">
        <v>3</v>
      </c>
      <c r="J7" s="14" t="str">
        <f aca="false">IF(OR(H7="",I7=""),"",IF(AND(H7&gt;=4,I7&gt;=4),"Star",IF(AND(H7&gt;=4,I7=3),"High Performer",IF(AND(H7&gt;=4,I7&lt;=2),"Solid Professional",IF(AND(H7=3,I7&gt;=4),"High Potential",IF(AND(H7=3,I7=3),"Core Player",IF(AND(H7=3,I7&lt;=2),"Inconsistent",IF(AND(H7&lt;=2,I7&gt;=4),"Rough Diamond",IF(AND(H7&lt;=2,I7=3),"Risk","Underperformer")))))))))</f>
        <v>Core Player</v>
      </c>
      <c r="K7" s="15" t="s">
        <v>73</v>
      </c>
      <c r="L7" s="15" t="s">
        <v>86</v>
      </c>
      <c r="M7" s="16" t="s">
        <v>87</v>
      </c>
      <c r="N7" s="16" t="s">
        <v>88</v>
      </c>
      <c r="O7" s="16" t="s">
        <v>89</v>
      </c>
      <c r="P7" s="16"/>
      <c r="Q7" s="11" t="s">
        <v>90</v>
      </c>
      <c r="R7" s="12" t="s">
        <v>84</v>
      </c>
    </row>
    <row r="8" customFormat="false" ht="34.5" hidden="false" customHeight="true" outlineLevel="0" collapsed="false">
      <c r="A8" s="11" t="s">
        <v>91</v>
      </c>
      <c r="B8" s="12" t="s">
        <v>92</v>
      </c>
      <c r="C8" s="12" t="s">
        <v>93</v>
      </c>
      <c r="D8" s="12" t="s">
        <v>94</v>
      </c>
      <c r="E8" s="12" t="s">
        <v>95</v>
      </c>
      <c r="F8" s="11" t="s">
        <v>96</v>
      </c>
      <c r="G8" s="11" t="n">
        <v>4</v>
      </c>
      <c r="H8" s="13" t="n">
        <v>4</v>
      </c>
      <c r="I8" s="13" t="n">
        <v>5</v>
      </c>
      <c r="J8" s="14" t="str">
        <f aca="false">IF(OR(H8="",I8=""),"",IF(AND(H8&gt;=4,I8&gt;=4),"Star",IF(AND(H8&gt;=4,I8=3),"High Performer",IF(AND(H8&gt;=4,I8&lt;=2),"Solid Professional",IF(AND(H8=3,I8&gt;=4),"High Potential",IF(AND(H8=3,I8=3),"Core Player",IF(AND(H8=3,I8&lt;=2),"Inconsistent",IF(AND(H8&lt;=2,I8&gt;=4),"Rough Diamond",IF(AND(H8&lt;=2,I8=3),"Risk","Underperformer")))))))))</f>
        <v>Star</v>
      </c>
      <c r="K8" s="15" t="s">
        <v>60</v>
      </c>
      <c r="L8" s="15" t="s">
        <v>61</v>
      </c>
      <c r="M8" s="16" t="s">
        <v>97</v>
      </c>
      <c r="N8" s="16" t="s">
        <v>98</v>
      </c>
      <c r="O8" s="16" t="s">
        <v>99</v>
      </c>
      <c r="P8" s="16" t="s">
        <v>100</v>
      </c>
      <c r="Q8" s="11" t="s">
        <v>101</v>
      </c>
      <c r="R8" s="12" t="s">
        <v>95</v>
      </c>
    </row>
    <row r="9" customFormat="false" ht="34.5" hidden="false" customHeight="true" outlineLevel="0" collapsed="false">
      <c r="A9" s="11" t="s">
        <v>102</v>
      </c>
      <c r="B9" s="12" t="s">
        <v>103</v>
      </c>
      <c r="C9" s="12" t="s">
        <v>104</v>
      </c>
      <c r="D9" s="12" t="s">
        <v>105</v>
      </c>
      <c r="E9" s="12" t="s">
        <v>106</v>
      </c>
      <c r="F9" s="11" t="s">
        <v>107</v>
      </c>
      <c r="G9" s="11" t="n">
        <v>5</v>
      </c>
      <c r="H9" s="13" t="n">
        <v>4</v>
      </c>
      <c r="I9" s="13" t="n">
        <v>3</v>
      </c>
      <c r="J9" s="14" t="str">
        <f aca="false">IF(OR(H9="",I9=""),"",IF(AND(H9&gt;=4,I9&gt;=4),"Star",IF(AND(H9&gt;=4,I9=3),"High Performer",IF(AND(H9&gt;=4,I9&lt;=2),"Solid Professional",IF(AND(H9=3,I9&gt;=4),"High Potential",IF(AND(H9=3,I9=3),"Core Player",IF(AND(H9=3,I9&lt;=2),"Inconsistent",IF(AND(H9&lt;=2,I9&gt;=4),"Rough Diamond",IF(AND(H9&lt;=2,I9=3),"Risk","Underperformer")))))))))</f>
        <v>High Performer</v>
      </c>
      <c r="K9" s="15" t="s">
        <v>108</v>
      </c>
      <c r="L9" s="15" t="s">
        <v>86</v>
      </c>
      <c r="M9" s="16" t="s">
        <v>109</v>
      </c>
      <c r="N9" s="16" t="s">
        <v>110</v>
      </c>
      <c r="O9" s="16" t="s">
        <v>111</v>
      </c>
      <c r="P9" s="16" t="s">
        <v>112</v>
      </c>
      <c r="Q9" s="11" t="s">
        <v>113</v>
      </c>
      <c r="R9" s="12" t="s">
        <v>106</v>
      </c>
    </row>
    <row r="10" customFormat="false" ht="34.5" hidden="false" customHeight="true" outlineLevel="0" collapsed="false">
      <c r="A10" s="11" t="s">
        <v>114</v>
      </c>
      <c r="B10" s="12" t="s">
        <v>115</v>
      </c>
      <c r="C10" s="12" t="s">
        <v>116</v>
      </c>
      <c r="D10" s="12" t="s">
        <v>117</v>
      </c>
      <c r="E10" s="12" t="s">
        <v>58</v>
      </c>
      <c r="F10" s="11" t="s">
        <v>118</v>
      </c>
      <c r="G10" s="11" t="n">
        <v>1</v>
      </c>
      <c r="H10" s="13" t="n">
        <v>5</v>
      </c>
      <c r="I10" s="13" t="n">
        <v>4</v>
      </c>
      <c r="J10" s="14" t="str">
        <f aca="false">IF(OR(H10="",I10=""),"",IF(AND(H10&gt;=4,I10&gt;=4),"Star",IF(AND(H10&gt;=4,I10=3),"High Performer",IF(AND(H10&gt;=4,I10&lt;=2),"Solid Professional",IF(AND(H10=3,I10&gt;=4),"High Potential",IF(AND(H10=3,I10=3),"Core Player",IF(AND(H10=3,I10&lt;=2),"Inconsistent",IF(AND(H10&lt;=2,I10&gt;=4),"Rough Diamond",IF(AND(H10&lt;=2,I10=3),"Risk","Underperformer")))))))))</f>
        <v>Star</v>
      </c>
      <c r="K10" s="15" t="s">
        <v>73</v>
      </c>
      <c r="L10" s="15" t="s">
        <v>61</v>
      </c>
      <c r="M10" s="16" t="s">
        <v>119</v>
      </c>
      <c r="N10" s="16" t="s">
        <v>120</v>
      </c>
      <c r="O10" s="16" t="s">
        <v>121</v>
      </c>
      <c r="P10" s="16"/>
      <c r="Q10" s="11" t="s">
        <v>122</v>
      </c>
      <c r="R10" s="12" t="s">
        <v>58</v>
      </c>
    </row>
    <row r="11" customFormat="false" ht="34.5" hidden="false" customHeight="true" outlineLevel="0" collapsed="false">
      <c r="A11" s="11" t="s">
        <v>123</v>
      </c>
      <c r="B11" s="12" t="s">
        <v>124</v>
      </c>
      <c r="C11" s="12" t="s">
        <v>125</v>
      </c>
      <c r="D11" s="12" t="s">
        <v>126</v>
      </c>
      <c r="E11" s="12" t="s">
        <v>127</v>
      </c>
      <c r="F11" s="11" t="s">
        <v>128</v>
      </c>
      <c r="G11" s="11" t="n">
        <v>6</v>
      </c>
      <c r="H11" s="13" t="n">
        <v>3</v>
      </c>
      <c r="I11" s="13" t="n">
        <v>2</v>
      </c>
      <c r="J11" s="14" t="str">
        <f aca="false">IF(OR(H11="",I11=""),"",IF(AND(H11&gt;=4,I11&gt;=4),"Star",IF(AND(H11&gt;=4,I11=3),"High Performer",IF(AND(H11&gt;=4,I11&lt;=2),"Solid Professional",IF(AND(H11=3,I11&gt;=4),"High Potential",IF(AND(H11=3,I11=3),"Core Player",IF(AND(H11=3,I11&lt;=2),"Inconsistent",IF(AND(H11&lt;=2,I11&gt;=4),"Rough Diamond",IF(AND(H11&lt;=2,I11=3),"Risk","Underperformer")))))))))</f>
        <v>Inconsistent</v>
      </c>
      <c r="K11" s="15" t="s">
        <v>60</v>
      </c>
      <c r="L11" s="15" t="s">
        <v>129</v>
      </c>
      <c r="M11" s="16" t="s">
        <v>130</v>
      </c>
      <c r="N11" s="16" t="s">
        <v>131</v>
      </c>
      <c r="O11" s="16" t="s">
        <v>132</v>
      </c>
      <c r="P11" s="16" t="s">
        <v>133</v>
      </c>
      <c r="Q11" s="11" t="s">
        <v>134</v>
      </c>
      <c r="R11" s="12" t="s">
        <v>127</v>
      </c>
    </row>
    <row r="12" customFormat="false" ht="34.5" hidden="false" customHeight="true" outlineLevel="0" collapsed="false">
      <c r="A12" s="11" t="s">
        <v>135</v>
      </c>
      <c r="B12" s="12" t="s">
        <v>136</v>
      </c>
      <c r="C12" s="12" t="s">
        <v>137</v>
      </c>
      <c r="D12" s="12" t="s">
        <v>138</v>
      </c>
      <c r="E12" s="12" t="s">
        <v>71</v>
      </c>
      <c r="F12" s="11" t="s">
        <v>139</v>
      </c>
      <c r="G12" s="11" t="n">
        <v>3</v>
      </c>
      <c r="H12" s="13" t="n">
        <v>4</v>
      </c>
      <c r="I12" s="13" t="n">
        <v>4</v>
      </c>
      <c r="J12" s="14" t="str">
        <f aca="false">IF(OR(H12="",I12=""),"",IF(AND(H12&gt;=4,I12&gt;=4),"Star",IF(AND(H12&gt;=4,I12=3),"High Performer",IF(AND(H12&gt;=4,I12&lt;=2),"Solid Professional",IF(AND(H12=3,I12&gt;=4),"High Potential",IF(AND(H12=3,I12=3),"Core Player",IF(AND(H12=3,I12&lt;=2),"Inconsistent",IF(AND(H12&lt;=2,I12&gt;=4),"Rough Diamond",IF(AND(H12&lt;=2,I12=3),"Risk","Underperformer")))))))))</f>
        <v>Star</v>
      </c>
      <c r="K12" s="15" t="s">
        <v>73</v>
      </c>
      <c r="L12" s="15" t="s">
        <v>61</v>
      </c>
      <c r="M12" s="16" t="s">
        <v>140</v>
      </c>
      <c r="N12" s="16" t="s">
        <v>141</v>
      </c>
      <c r="O12" s="16" t="s">
        <v>142</v>
      </c>
      <c r="P12" s="16"/>
      <c r="Q12" s="11" t="s">
        <v>143</v>
      </c>
      <c r="R12" s="12" t="s">
        <v>71</v>
      </c>
    </row>
    <row r="13" customFormat="false" ht="34.5" hidden="false" customHeight="true" outlineLevel="0" collapsed="false">
      <c r="A13" s="11" t="s">
        <v>144</v>
      </c>
      <c r="B13" s="12" t="s">
        <v>145</v>
      </c>
      <c r="C13" s="12" t="s">
        <v>146</v>
      </c>
      <c r="D13" s="12" t="s">
        <v>147</v>
      </c>
      <c r="E13" s="12" t="s">
        <v>95</v>
      </c>
      <c r="F13" s="11" t="s">
        <v>148</v>
      </c>
      <c r="G13" s="11" t="n">
        <v>2.5</v>
      </c>
      <c r="H13" s="13" t="n">
        <v>3</v>
      </c>
      <c r="I13" s="13" t="n">
        <v>3</v>
      </c>
      <c r="J13" s="14" t="str">
        <f aca="false">IF(OR(H13="",I13=""),"",IF(AND(H13&gt;=4,I13&gt;=4),"Star",IF(AND(H13&gt;=4,I13=3),"High Performer",IF(AND(H13&gt;=4,I13&lt;=2),"Solid Professional",IF(AND(H13=3,I13&gt;=4),"High Potential",IF(AND(H13=3,I13=3),"Core Player",IF(AND(H13=3,I13&lt;=2),"Inconsistent",IF(AND(H13&lt;=2,I13&gt;=4),"Rough Diamond",IF(AND(H13&lt;=2,I13=3),"Risk","Underperformer")))))))))</f>
        <v>Core Player</v>
      </c>
      <c r="K13" s="15" t="s">
        <v>73</v>
      </c>
      <c r="L13" s="15" t="s">
        <v>86</v>
      </c>
      <c r="M13" s="16" t="s">
        <v>149</v>
      </c>
      <c r="N13" s="16" t="s">
        <v>150</v>
      </c>
      <c r="O13" s="16" t="s">
        <v>151</v>
      </c>
      <c r="P13" s="16"/>
      <c r="Q13" s="11" t="s">
        <v>152</v>
      </c>
      <c r="R13" s="12" t="s">
        <v>95</v>
      </c>
    </row>
    <row r="14" customFormat="false" ht="34.5" hidden="false" customHeight="true" outlineLevel="0" collapsed="false">
      <c r="A14" s="11" t="s">
        <v>153</v>
      </c>
      <c r="B14" s="12" t="s">
        <v>127</v>
      </c>
      <c r="C14" s="12" t="s">
        <v>154</v>
      </c>
      <c r="D14" s="12" t="s">
        <v>126</v>
      </c>
      <c r="E14" s="12" t="s">
        <v>155</v>
      </c>
      <c r="F14" s="11" t="s">
        <v>156</v>
      </c>
      <c r="G14" s="11" t="n">
        <v>8</v>
      </c>
      <c r="H14" s="13" t="n">
        <v>4</v>
      </c>
      <c r="I14" s="13" t="n">
        <v>4</v>
      </c>
      <c r="J14" s="14" t="str">
        <f aca="false">IF(OR(H14="",I14=""),"",IF(AND(H14&gt;=4,I14&gt;=4),"Star",IF(AND(H14&gt;=4,I14=3),"High Performer",IF(AND(H14&gt;=4,I14&lt;=2),"Solid Professional",IF(AND(H14=3,I14&gt;=4),"High Potential",IF(AND(H14=3,I14=3),"Core Player",IF(AND(H14=3,I14&lt;=2),"Inconsistent",IF(AND(H14&lt;=2,I14&gt;=4),"Rough Diamond",IF(AND(H14&lt;=2,I14=3),"Risk","Underperformer")))))))))</f>
        <v>Star</v>
      </c>
      <c r="K14" s="15" t="s">
        <v>73</v>
      </c>
      <c r="L14" s="15" t="s">
        <v>74</v>
      </c>
      <c r="M14" s="16" t="s">
        <v>157</v>
      </c>
      <c r="N14" s="16" t="s">
        <v>158</v>
      </c>
      <c r="O14" s="16" t="s">
        <v>159</v>
      </c>
      <c r="P14" s="16" t="s">
        <v>160</v>
      </c>
      <c r="Q14" s="11" t="s">
        <v>161</v>
      </c>
      <c r="R14" s="12" t="s">
        <v>155</v>
      </c>
    </row>
    <row r="15" customFormat="false" ht="34.5" hidden="false" customHeight="true" outlineLevel="0" collapsed="false">
      <c r="A15" s="11" t="s">
        <v>162</v>
      </c>
      <c r="B15" s="12" t="s">
        <v>106</v>
      </c>
      <c r="C15" s="12" t="s">
        <v>163</v>
      </c>
      <c r="D15" s="12" t="s">
        <v>105</v>
      </c>
      <c r="E15" s="12" t="s">
        <v>155</v>
      </c>
      <c r="F15" s="11" t="s">
        <v>164</v>
      </c>
      <c r="G15" s="11" t="n">
        <v>9</v>
      </c>
      <c r="H15" s="13" t="n">
        <v>5</v>
      </c>
      <c r="I15" s="13" t="n">
        <v>3</v>
      </c>
      <c r="J15" s="14" t="str">
        <f aca="false">IF(OR(H15="",I15=""),"",IF(AND(H15&gt;=4,I15&gt;=4),"Star",IF(AND(H15&gt;=4,I15=3),"High Performer",IF(AND(H15&gt;=4,I15&lt;=2),"Solid Professional",IF(AND(H15=3,I15&gt;=4),"High Potential",IF(AND(H15=3,I15=3),"Core Player",IF(AND(H15=3,I15&lt;=2),"Inconsistent",IF(AND(H15&lt;=2,I15&gt;=4),"Rough Diamond",IF(AND(H15&lt;=2,I15=3),"Risk","Underperformer")))))))))</f>
        <v>High Performer</v>
      </c>
      <c r="K15" s="15" t="s">
        <v>60</v>
      </c>
      <c r="L15" s="15" t="s">
        <v>61</v>
      </c>
      <c r="M15" s="16" t="s">
        <v>165</v>
      </c>
      <c r="N15" s="16" t="s">
        <v>166</v>
      </c>
      <c r="O15" s="16" t="s">
        <v>167</v>
      </c>
      <c r="P15" s="16" t="s">
        <v>168</v>
      </c>
      <c r="Q15" s="11" t="s">
        <v>169</v>
      </c>
      <c r="R15" s="12" t="s">
        <v>155</v>
      </c>
    </row>
    <row r="16" customFormat="false" ht="34.5" hidden="false" customHeight="true" outlineLevel="0" collapsed="false">
      <c r="A16" s="11" t="s">
        <v>170</v>
      </c>
      <c r="B16" s="12" t="s">
        <v>95</v>
      </c>
      <c r="C16" s="12" t="s">
        <v>171</v>
      </c>
      <c r="D16" s="12" t="s">
        <v>94</v>
      </c>
      <c r="E16" s="12" t="s">
        <v>155</v>
      </c>
      <c r="F16" s="11" t="s">
        <v>172</v>
      </c>
      <c r="G16" s="11" t="n">
        <v>10</v>
      </c>
      <c r="H16" s="13" t="n">
        <v>5</v>
      </c>
      <c r="I16" s="13" t="n">
        <v>4</v>
      </c>
      <c r="J16" s="14" t="str">
        <f aca="false">IF(OR(H16="",I16=""),"",IF(AND(H16&gt;=4,I16&gt;=4),"Star",IF(AND(H16&gt;=4,I16=3),"High Performer",IF(AND(H16&gt;=4,I16&lt;=2),"Solid Professional",IF(AND(H16=3,I16&gt;=4),"High Potential",IF(AND(H16=3,I16=3),"Core Player",IF(AND(H16=3,I16&lt;=2),"Inconsistent",IF(AND(H16&lt;=2,I16&gt;=4),"Rough Diamond",IF(AND(H16&lt;=2,I16=3),"Risk","Underperformer")))))))))</f>
        <v>Star</v>
      </c>
      <c r="K16" s="15" t="s">
        <v>73</v>
      </c>
      <c r="L16" s="15" t="s">
        <v>74</v>
      </c>
      <c r="M16" s="16" t="s">
        <v>173</v>
      </c>
      <c r="N16" s="16" t="s">
        <v>174</v>
      </c>
      <c r="O16" s="16" t="s">
        <v>175</v>
      </c>
      <c r="P16" s="16" t="s">
        <v>176</v>
      </c>
      <c r="Q16" s="11" t="s">
        <v>177</v>
      </c>
      <c r="R16" s="12" t="s">
        <v>155</v>
      </c>
    </row>
    <row r="18" customFormat="false" ht="15" hidden="false" customHeight="false" outlineLevel="0" collapsed="false">
      <c r="A18" s="2" t="s">
        <v>178</v>
      </c>
    </row>
    <row r="19" customFormat="false" ht="15" hidden="false" customHeight="false" outlineLevel="0" collapsed="false">
      <c r="A19" s="17" t="s">
        <v>179</v>
      </c>
      <c r="B19" s="17"/>
      <c r="C19" s="17"/>
      <c r="D19" s="17"/>
    </row>
    <row r="20" customFormat="false" ht="15" hidden="false" customHeight="false" outlineLevel="0" collapsed="false">
      <c r="A20" s="17" t="s">
        <v>180</v>
      </c>
      <c r="B20" s="17"/>
      <c r="C20" s="17"/>
      <c r="D20" s="17"/>
    </row>
    <row r="21" customFormat="false" ht="15" hidden="false" customHeight="false" outlineLevel="0" collapsed="false">
      <c r="A21" s="18" t="s">
        <v>181</v>
      </c>
      <c r="B21" s="18"/>
      <c r="C21" s="18"/>
      <c r="D21" s="18"/>
    </row>
  </sheetData>
  <autoFilter ref="A4:R16"/>
  <mergeCells count="5">
    <mergeCell ref="A1:R1"/>
    <mergeCell ref="A2:R2"/>
    <mergeCell ref="A19:D19"/>
    <mergeCell ref="A20:D20"/>
    <mergeCell ref="A21:D21"/>
  </mergeCells>
  <dataValidations count="4">
    <dataValidation allowBlank="true" error="Select 1-5" errorStyle="stop" errorTitle="Invalid Rating" operator="between" showDropDown="false" showErrorMessage="false" showInputMessage="false" sqref="H5:H100" type="list">
      <formula1>"1,2,3,4,5"</formula1>
      <formula2>0</formula2>
    </dataValidation>
    <dataValidation allowBlank="true" errorStyle="stop" operator="between" showDropDown="false" showErrorMessage="false" showInputMessage="false" sqref="I5:I100" type="list">
      <formula1>"1,2,3,4,5"</formula1>
      <formula2>0</formula2>
    </dataValidation>
    <dataValidation allowBlank="true" errorStyle="stop" operator="between" showDropDown="false" showErrorMessage="false" showInputMessage="false" sqref="K5:K100" type="list">
      <formula1>"Low,Medium,High"</formula1>
      <formula2>0</formula2>
    </dataValidation>
    <dataValidation allowBlank="true" errorStyle="stop" operator="between" showDropDown="false" showErrorMessage="false" showInputMessage="false" sqref="L5:L100" type="list">
      <formula1>"Ready now,Ready in 1-2 years,Ready in 2-3 years,Not ready"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22"/>
    <col collapsed="false" customWidth="true" hidden="false" outlineLevel="0" max="7" min="6" style="0" width="18"/>
    <col collapsed="false" customWidth="true" hidden="false" outlineLevel="0" max="8" min="8" style="0" width="12"/>
    <col collapsed="false" customWidth="true" hidden="false" outlineLevel="0" max="10" min="9" style="0" width="8"/>
  </cols>
  <sheetData>
    <row r="1" customFormat="false" ht="19.7" hidden="false" customHeight="false" outlineLevel="0" collapsed="false">
      <c r="A1" s="1" t="s">
        <v>182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9" t="s">
        <v>183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5" hidden="false" customHeight="false" outlineLevel="0" collapsed="false">
      <c r="B3" s="19" t="s">
        <v>184</v>
      </c>
      <c r="F3" s="20" t="s">
        <v>185</v>
      </c>
      <c r="G3" s="20"/>
      <c r="H3" s="20"/>
    </row>
    <row r="4" customFormat="false" ht="26.85" hidden="false" customHeight="false" outlineLevel="0" collapsed="false">
      <c r="A4" s="19" t="s">
        <v>186</v>
      </c>
      <c r="B4" s="10" t="s">
        <v>187</v>
      </c>
      <c r="C4" s="10" t="s">
        <v>188</v>
      </c>
      <c r="D4" s="10" t="s">
        <v>189</v>
      </c>
      <c r="F4" s="10" t="s">
        <v>45</v>
      </c>
      <c r="G4" s="10" t="s">
        <v>37</v>
      </c>
      <c r="H4" s="10" t="s">
        <v>190</v>
      </c>
      <c r="I4" s="10" t="s">
        <v>191</v>
      </c>
      <c r="J4" s="10" t="s">
        <v>192</v>
      </c>
    </row>
    <row r="5" customFormat="false" ht="15" hidden="false" customHeight="true" outlineLevel="0" collapsed="false">
      <c r="A5" s="10" t="s">
        <v>193</v>
      </c>
      <c r="B5" s="21" t="s">
        <v>194</v>
      </c>
      <c r="C5" s="22" t="s">
        <v>195</v>
      </c>
      <c r="D5" s="23" t="s">
        <v>196</v>
      </c>
      <c r="F5" s="24" t="str">
        <f aca="false">'Talent Review'!J5</f>
        <v>Star</v>
      </c>
      <c r="G5" s="24" t="str">
        <f aca="false">'Talent Review'!B5</f>
        <v>Amara Okonkwo</v>
      </c>
      <c r="H5" s="25" t="str">
        <f aca="false">'Talent Review'!D5</f>
        <v>Engineering</v>
      </c>
      <c r="I5" s="25" t="n">
        <f aca="false">'Talent Review'!H5</f>
        <v>4</v>
      </c>
      <c r="J5" s="25" t="n">
        <f aca="false">'Talent Review'!I5</f>
        <v>4</v>
      </c>
    </row>
    <row r="6" customFormat="false" ht="17.35" hidden="false" customHeight="false" outlineLevel="0" collapsed="false">
      <c r="A6" s="10"/>
      <c r="B6" s="26" t="n">
        <f aca="false">COUNTIF('Talent Review'!J:J,"SOLID PROFESSIONAL")</f>
        <v>0</v>
      </c>
      <c r="C6" s="26" t="n">
        <f aca="false">COUNTIF('Talent Review'!J:J,"HIGH PERFORMER")</f>
        <v>2</v>
      </c>
      <c r="D6" s="26" t="n">
        <f aca="false">COUNTIF('Talent Review'!J:J,"STAR")</f>
        <v>7</v>
      </c>
      <c r="F6" s="24" t="str">
        <f aca="false">'Talent Review'!J6</f>
        <v>Star</v>
      </c>
      <c r="G6" s="24" t="str">
        <f aca="false">'Talent Review'!B6</f>
        <v>Chidi Nwosu</v>
      </c>
      <c r="H6" s="25" t="str">
        <f aca="false">'Talent Review'!D6</f>
        <v>Product</v>
      </c>
      <c r="I6" s="25" t="n">
        <f aca="false">'Talent Review'!H6</f>
        <v>5</v>
      </c>
      <c r="J6" s="25" t="n">
        <f aca="false">'Talent Review'!I6</f>
        <v>5</v>
      </c>
    </row>
    <row r="7" customFormat="false" ht="15" hidden="false" customHeight="false" outlineLevel="0" collapsed="false">
      <c r="A7" s="10"/>
      <c r="B7" s="27" t="s">
        <v>197</v>
      </c>
      <c r="C7" s="27" t="s">
        <v>197</v>
      </c>
      <c r="D7" s="27" t="s">
        <v>197</v>
      </c>
      <c r="F7" s="24" t="str">
        <f aca="false">'Talent Review'!J7</f>
        <v>Core Player</v>
      </c>
      <c r="G7" s="24" t="str">
        <f aca="false">'Talent Review'!B7</f>
        <v>Fatima Ibrahim</v>
      </c>
      <c r="H7" s="25" t="str">
        <f aca="false">'Talent Review'!D7</f>
        <v>Finance</v>
      </c>
      <c r="I7" s="25" t="n">
        <f aca="false">'Talent Review'!H7</f>
        <v>3</v>
      </c>
      <c r="J7" s="25" t="n">
        <f aca="false">'Talent Review'!I7</f>
        <v>3</v>
      </c>
    </row>
    <row r="8" customFormat="false" ht="15" hidden="false" customHeight="false" outlineLevel="0" collapsed="false">
      <c r="A8" s="10"/>
      <c r="B8" s="28"/>
      <c r="C8" s="28"/>
      <c r="D8" s="28"/>
      <c r="F8" s="24" t="str">
        <f aca="false">'Talent Review'!J8</f>
        <v>Star</v>
      </c>
      <c r="G8" s="24" t="str">
        <f aca="false">'Talent Review'!B8</f>
        <v>Kemi Adebayo</v>
      </c>
      <c r="H8" s="25" t="str">
        <f aca="false">'Talent Review'!D8</f>
        <v>People</v>
      </c>
      <c r="I8" s="25" t="n">
        <f aca="false">'Talent Review'!H8</f>
        <v>4</v>
      </c>
      <c r="J8" s="25" t="n">
        <f aca="false">'Talent Review'!I8</f>
        <v>5</v>
      </c>
    </row>
    <row r="9" customFormat="false" ht="15" hidden="false" customHeight="true" outlineLevel="0" collapsed="false">
      <c r="A9" s="10" t="s">
        <v>198</v>
      </c>
      <c r="B9" s="29" t="s">
        <v>199</v>
      </c>
      <c r="C9" s="30" t="s">
        <v>200</v>
      </c>
      <c r="D9" s="31" t="s">
        <v>201</v>
      </c>
      <c r="F9" s="24" t="str">
        <f aca="false">'Talent Review'!J9</f>
        <v>High Performer</v>
      </c>
      <c r="G9" s="24" t="str">
        <f aca="false">'Talent Review'!B9</f>
        <v>Oluwaseun Ojo</v>
      </c>
      <c r="H9" s="25" t="str">
        <f aca="false">'Talent Review'!D9</f>
        <v>Sales</v>
      </c>
      <c r="I9" s="25" t="n">
        <f aca="false">'Talent Review'!H9</f>
        <v>4</v>
      </c>
      <c r="J9" s="25" t="n">
        <f aca="false">'Talent Review'!I9</f>
        <v>3</v>
      </c>
    </row>
    <row r="10" customFormat="false" ht="17.35" hidden="false" customHeight="false" outlineLevel="0" collapsed="false">
      <c r="A10" s="10"/>
      <c r="B10" s="26" t="n">
        <f aca="false">COUNTIF('Talent Review'!J:J,"INCONSISTENT")</f>
        <v>1</v>
      </c>
      <c r="C10" s="26" t="n">
        <f aca="false">COUNTIF('Talent Review'!J:J,"CORE PLAYER")</f>
        <v>2</v>
      </c>
      <c r="D10" s="26" t="n">
        <f aca="false">COUNTIF('Talent Review'!J:J,"HIGH POTENTIAL")</f>
        <v>0</v>
      </c>
      <c r="F10" s="24" t="str">
        <f aca="false">'Talent Review'!J10</f>
        <v>Star</v>
      </c>
      <c r="G10" s="24" t="str">
        <f aca="false">'Talent Review'!B10</f>
        <v>Blessing Eze</v>
      </c>
      <c r="H10" s="25" t="str">
        <f aca="false">'Talent Review'!D10</f>
        <v>Analytics</v>
      </c>
      <c r="I10" s="25" t="n">
        <f aca="false">'Talent Review'!H10</f>
        <v>5</v>
      </c>
      <c r="J10" s="25" t="n">
        <f aca="false">'Talent Review'!I10</f>
        <v>4</v>
      </c>
    </row>
    <row r="11" customFormat="false" ht="15" hidden="false" customHeight="false" outlineLevel="0" collapsed="false">
      <c r="A11" s="10"/>
      <c r="B11" s="27" t="s">
        <v>197</v>
      </c>
      <c r="C11" s="27" t="s">
        <v>197</v>
      </c>
      <c r="D11" s="27" t="s">
        <v>197</v>
      </c>
      <c r="F11" s="24" t="str">
        <f aca="false">'Talent Review'!J11</f>
        <v>Inconsistent</v>
      </c>
      <c r="G11" s="24" t="str">
        <f aca="false">'Talent Review'!B11</f>
        <v>David Okoro</v>
      </c>
      <c r="H11" s="25" t="str">
        <f aca="false">'Talent Review'!D11</f>
        <v>Operations</v>
      </c>
      <c r="I11" s="25" t="n">
        <f aca="false">'Talent Review'!H11</f>
        <v>3</v>
      </c>
      <c r="J11" s="25" t="n">
        <f aca="false">'Talent Review'!I11</f>
        <v>2</v>
      </c>
    </row>
    <row r="12" customFormat="false" ht="15" hidden="false" customHeight="false" outlineLevel="0" collapsed="false">
      <c r="A12" s="10"/>
      <c r="B12" s="28"/>
      <c r="C12" s="28"/>
      <c r="D12" s="28"/>
      <c r="F12" s="24" t="str">
        <f aca="false">'Talent Review'!J12</f>
        <v>Star</v>
      </c>
      <c r="G12" s="24" t="str">
        <f aca="false">'Talent Review'!B12</f>
        <v>Aisha Mohammed</v>
      </c>
      <c r="H12" s="25" t="str">
        <f aca="false">'Talent Review'!D12</f>
        <v>Marketing</v>
      </c>
      <c r="I12" s="25" t="n">
        <f aca="false">'Talent Review'!H12</f>
        <v>4</v>
      </c>
      <c r="J12" s="25" t="n">
        <f aca="false">'Talent Review'!I12</f>
        <v>4</v>
      </c>
    </row>
    <row r="13" customFormat="false" ht="15" hidden="false" customHeight="true" outlineLevel="0" collapsed="false">
      <c r="A13" s="10" t="s">
        <v>202</v>
      </c>
      <c r="B13" s="32" t="s">
        <v>203</v>
      </c>
      <c r="C13" s="33" t="s">
        <v>204</v>
      </c>
      <c r="D13" s="34" t="s">
        <v>205</v>
      </c>
      <c r="F13" s="24" t="str">
        <f aca="false">'Talent Review'!J13</f>
        <v>Core Player</v>
      </c>
      <c r="G13" s="24" t="str">
        <f aca="false">'Talent Review'!B13</f>
        <v>Emeka Obi</v>
      </c>
      <c r="H13" s="25" t="str">
        <f aca="false">'Talent Review'!D13</f>
        <v>Legal</v>
      </c>
      <c r="I13" s="25" t="n">
        <f aca="false">'Talent Review'!H13</f>
        <v>3</v>
      </c>
      <c r="J13" s="25" t="n">
        <f aca="false">'Talent Review'!I13</f>
        <v>3</v>
      </c>
    </row>
    <row r="14" customFormat="false" ht="17.35" hidden="false" customHeight="false" outlineLevel="0" collapsed="false">
      <c r="A14" s="10"/>
      <c r="B14" s="26" t="n">
        <f aca="false">COUNTIF('Talent Review'!J:J,"UNDERPERFORMER")</f>
        <v>0</v>
      </c>
      <c r="C14" s="26" t="n">
        <f aca="false">COUNTIF('Talent Review'!J:J,"RISK")</f>
        <v>0</v>
      </c>
      <c r="D14" s="26" t="n">
        <f aca="false">COUNTIF('Talent Review'!J:J,"ROUGH DIAMOND")</f>
        <v>0</v>
      </c>
      <c r="F14" s="24" t="str">
        <f aca="false">'Talent Review'!J14</f>
        <v>Star</v>
      </c>
      <c r="G14" s="24" t="str">
        <f aca="false">'Talent Review'!B14</f>
        <v>Grace Okonkwo</v>
      </c>
      <c r="H14" s="25" t="str">
        <f aca="false">'Talent Review'!D14</f>
        <v>Operations</v>
      </c>
      <c r="I14" s="25" t="n">
        <f aca="false">'Talent Review'!H14</f>
        <v>4</v>
      </c>
      <c r="J14" s="25" t="n">
        <f aca="false">'Talent Review'!I14</f>
        <v>4</v>
      </c>
    </row>
    <row r="15" customFormat="false" ht="15" hidden="false" customHeight="false" outlineLevel="0" collapsed="false">
      <c r="A15" s="10"/>
      <c r="B15" s="27" t="s">
        <v>197</v>
      </c>
      <c r="C15" s="27" t="s">
        <v>197</v>
      </c>
      <c r="D15" s="27" t="s">
        <v>197</v>
      </c>
      <c r="F15" s="24" t="str">
        <f aca="false">'Talent Review'!J15</f>
        <v>High Performer</v>
      </c>
      <c r="G15" s="24" t="str">
        <f aca="false">'Talent Review'!B15</f>
        <v>Ibrahim Musa</v>
      </c>
      <c r="H15" s="25" t="str">
        <f aca="false">'Talent Review'!D15</f>
        <v>Sales</v>
      </c>
      <c r="I15" s="25" t="n">
        <f aca="false">'Talent Review'!H15</f>
        <v>5</v>
      </c>
      <c r="J15" s="25" t="n">
        <f aca="false">'Talent Review'!I15</f>
        <v>3</v>
      </c>
    </row>
    <row r="16" customFormat="false" ht="15" hidden="false" customHeight="false" outlineLevel="0" collapsed="false">
      <c r="A16" s="10"/>
      <c r="B16" s="28"/>
      <c r="C16" s="28"/>
      <c r="D16" s="28"/>
      <c r="F16" s="24" t="str">
        <f aca="false">'Talent Review'!J16</f>
        <v>Star</v>
      </c>
      <c r="G16" s="24" t="str">
        <f aca="false">'Talent Review'!B16</f>
        <v>Ngozi Eze</v>
      </c>
      <c r="H16" s="25" t="str">
        <f aca="false">'Talent Review'!D16</f>
        <v>People</v>
      </c>
      <c r="I16" s="25" t="n">
        <f aca="false">'Talent Review'!H16</f>
        <v>5</v>
      </c>
      <c r="J16" s="25" t="n">
        <f aca="false">'Talent Review'!I16</f>
        <v>4</v>
      </c>
    </row>
    <row r="18" customFormat="false" ht="15" hidden="false" customHeight="false" outlineLevel="0" collapsed="false">
      <c r="A18" s="2" t="s">
        <v>206</v>
      </c>
      <c r="F18" s="20" t="s">
        <v>207</v>
      </c>
      <c r="G18" s="20"/>
      <c r="H18" s="20"/>
    </row>
    <row r="19" customFormat="false" ht="15" hidden="false" customHeight="false" outlineLevel="0" collapsed="false">
      <c r="A19" s="17" t="s">
        <v>208</v>
      </c>
      <c r="B19" s="17"/>
      <c r="C19" s="17"/>
      <c r="D19" s="17"/>
      <c r="F19" s="10" t="s">
        <v>209</v>
      </c>
      <c r="G19" s="10" t="s">
        <v>210</v>
      </c>
      <c r="H19" s="10" t="s">
        <v>211</v>
      </c>
    </row>
    <row r="20" customFormat="false" ht="15" hidden="false" customHeight="false" outlineLevel="0" collapsed="false">
      <c r="A20" s="17" t="s">
        <v>212</v>
      </c>
      <c r="B20" s="17"/>
      <c r="C20" s="17"/>
      <c r="D20" s="17"/>
      <c r="F20" s="35" t="s">
        <v>213</v>
      </c>
      <c r="G20" s="36" t="n">
        <f aca="false">COUNTIF('Talent Review'!J:J,"Star")</f>
        <v>7</v>
      </c>
      <c r="H20" s="37" t="n">
        <f aca="false">IF(COUNTA('Talent Review'!J5:J100)=0,0,G20/COUNTA('Talent Review'!J5:J100))</f>
        <v>0.583333333333333</v>
      </c>
    </row>
    <row r="21" customFormat="false" ht="15" hidden="false" customHeight="false" outlineLevel="0" collapsed="false">
      <c r="A21" s="17" t="s">
        <v>214</v>
      </c>
      <c r="B21" s="17"/>
      <c r="C21" s="17"/>
      <c r="D21" s="17"/>
      <c r="F21" s="35" t="s">
        <v>215</v>
      </c>
      <c r="G21" s="36" t="n">
        <f aca="false">COUNTIF('Talent Review'!J:J,"High Performer")</f>
        <v>2</v>
      </c>
      <c r="H21" s="37" t="n">
        <f aca="false">IF(COUNTA('Talent Review'!J5:J100)=0,0,G21/COUNTA('Talent Review'!J5:J100))</f>
        <v>0.166666666666667</v>
      </c>
    </row>
    <row r="22" customFormat="false" ht="15" hidden="false" customHeight="false" outlineLevel="0" collapsed="false">
      <c r="F22" s="35" t="s">
        <v>216</v>
      </c>
      <c r="G22" s="36" t="n">
        <f aca="false">COUNTIF('Talent Review'!J:J,"Solid Professional")</f>
        <v>0</v>
      </c>
      <c r="H22" s="37" t="n">
        <f aca="false">IF(COUNTA('Talent Review'!J5:J100)=0,0,G22/COUNTA('Talent Review'!J5:J100))</f>
        <v>0</v>
      </c>
    </row>
    <row r="23" customFormat="false" ht="15" hidden="false" customHeight="false" outlineLevel="0" collapsed="false">
      <c r="F23" s="35" t="s">
        <v>217</v>
      </c>
      <c r="G23" s="36" t="n">
        <f aca="false">COUNTIF('Talent Review'!J:J,"High Potential")</f>
        <v>0</v>
      </c>
      <c r="H23" s="37" t="n">
        <f aca="false">IF(COUNTA('Talent Review'!J5:J100)=0,0,G23/COUNTA('Talent Review'!J5:J100))</f>
        <v>0</v>
      </c>
    </row>
    <row r="24" customFormat="false" ht="15" hidden="false" customHeight="false" outlineLevel="0" collapsed="false">
      <c r="F24" s="35" t="s">
        <v>218</v>
      </c>
      <c r="G24" s="36" t="n">
        <f aca="false">COUNTIF('Talent Review'!J:J,"Core Player")</f>
        <v>2</v>
      </c>
      <c r="H24" s="37" t="n">
        <f aca="false">IF(COUNTA('Talent Review'!J5:J100)=0,0,G24/COUNTA('Talent Review'!J5:J100))</f>
        <v>0.166666666666667</v>
      </c>
    </row>
    <row r="25" customFormat="false" ht="15" hidden="false" customHeight="false" outlineLevel="0" collapsed="false">
      <c r="F25" s="35" t="s">
        <v>219</v>
      </c>
      <c r="G25" s="36" t="n">
        <f aca="false">COUNTIF('Talent Review'!J:J,"Inconsistent")</f>
        <v>1</v>
      </c>
      <c r="H25" s="37" t="n">
        <f aca="false">IF(COUNTA('Talent Review'!J5:J100)=0,0,G25/COUNTA('Talent Review'!J5:J100))</f>
        <v>0.0833333333333333</v>
      </c>
    </row>
    <row r="26" customFormat="false" ht="15" hidden="false" customHeight="false" outlineLevel="0" collapsed="false">
      <c r="F26" s="35" t="s">
        <v>220</v>
      </c>
      <c r="G26" s="36" t="n">
        <f aca="false">COUNTIF('Talent Review'!J:J,"Rough Diamond")</f>
        <v>0</v>
      </c>
      <c r="H26" s="37" t="n">
        <f aca="false">IF(COUNTA('Talent Review'!J5:J100)=0,0,G26/COUNTA('Talent Review'!J5:J100))</f>
        <v>0</v>
      </c>
    </row>
    <row r="27" customFormat="false" ht="15" hidden="false" customHeight="false" outlineLevel="0" collapsed="false">
      <c r="F27" s="35" t="s">
        <v>221</v>
      </c>
      <c r="G27" s="36" t="n">
        <f aca="false">COUNTIF('Talent Review'!J:J,"Risk")</f>
        <v>0</v>
      </c>
      <c r="H27" s="37" t="n">
        <f aca="false">IF(COUNTA('Talent Review'!J5:J100)=0,0,G27/COUNTA('Talent Review'!J5:J100))</f>
        <v>0</v>
      </c>
    </row>
    <row r="28" customFormat="false" ht="15" hidden="false" customHeight="false" outlineLevel="0" collapsed="false">
      <c r="F28" s="35" t="s">
        <v>222</v>
      </c>
      <c r="G28" s="36" t="n">
        <f aca="false">COUNTIF('Talent Review'!J:J,"Underperformer")</f>
        <v>0</v>
      </c>
      <c r="H28" s="37" t="n">
        <f aca="false">IF(COUNTA('Talent Review'!J5:J100)=0,0,G28/COUNTA('Talent Review'!J5:J100))</f>
        <v>0</v>
      </c>
    </row>
    <row r="29" customFormat="false" ht="15" hidden="false" customHeight="false" outlineLevel="0" collapsed="false">
      <c r="F29" s="38" t="s">
        <v>223</v>
      </c>
      <c r="G29" s="39" t="n">
        <f aca="false">COUNTA('Talent Review'!B5:B100)</f>
        <v>12</v>
      </c>
    </row>
  </sheetData>
  <mergeCells count="10">
    <mergeCell ref="A1:L1"/>
    <mergeCell ref="A2:L2"/>
    <mergeCell ref="F3:H3"/>
    <mergeCell ref="A5:A8"/>
    <mergeCell ref="A9:A12"/>
    <mergeCell ref="A13:A16"/>
    <mergeCell ref="F18:H18"/>
    <mergeCell ref="A19:D19"/>
    <mergeCell ref="A20:D20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28"/>
    <col collapsed="false" customWidth="true" hidden="false" outlineLevel="0" max="9" min="8" style="0" width="16"/>
    <col collapsed="false" customWidth="true" hidden="false" outlineLevel="0" max="10" min="10" style="0" width="28"/>
    <col collapsed="false" customWidth="true" hidden="false" outlineLevel="0" max="12" min="11" style="0" width="16"/>
    <col collapsed="false" customWidth="true" hidden="false" outlineLevel="0" max="13" min="13" style="0" width="28"/>
    <col collapsed="false" customWidth="true" hidden="false" outlineLevel="0" max="14" min="14" style="0" width="40"/>
  </cols>
  <sheetData>
    <row r="1" customFormat="false" ht="24" hidden="false" customHeight="true" outlineLevel="0" collapsed="false">
      <c r="A1" s="1" t="s">
        <v>224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9" t="s">
        <v>225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4" customFormat="false" ht="34.5" hidden="false" customHeight="true" outlineLevel="0" collapsed="false">
      <c r="A4" s="10" t="s">
        <v>226</v>
      </c>
      <c r="B4" s="10" t="s">
        <v>227</v>
      </c>
      <c r="C4" s="10" t="s">
        <v>228</v>
      </c>
      <c r="D4" s="10" t="s">
        <v>229</v>
      </c>
      <c r="E4" s="10" t="s">
        <v>230</v>
      </c>
      <c r="F4" s="10" t="s">
        <v>231</v>
      </c>
      <c r="G4" s="10" t="s">
        <v>232</v>
      </c>
      <c r="H4" s="10" t="s">
        <v>233</v>
      </c>
      <c r="I4" s="10" t="s">
        <v>234</v>
      </c>
      <c r="J4" s="10" t="s">
        <v>235</v>
      </c>
      <c r="K4" s="10" t="s">
        <v>236</v>
      </c>
      <c r="L4" s="10" t="s">
        <v>237</v>
      </c>
      <c r="M4" s="10" t="s">
        <v>238</v>
      </c>
      <c r="N4" s="10" t="s">
        <v>239</v>
      </c>
    </row>
    <row r="5" customFormat="false" ht="39.75" hidden="false" customHeight="true" outlineLevel="0" collapsed="false">
      <c r="A5" s="16" t="s">
        <v>240</v>
      </c>
      <c r="B5" s="16" t="s">
        <v>241</v>
      </c>
      <c r="C5" s="40" t="s">
        <v>73</v>
      </c>
      <c r="D5" s="41" t="s">
        <v>242</v>
      </c>
      <c r="E5" s="16" t="s">
        <v>127</v>
      </c>
      <c r="F5" s="15" t="s">
        <v>61</v>
      </c>
      <c r="G5" s="16" t="s">
        <v>243</v>
      </c>
      <c r="H5" s="16" t="s">
        <v>95</v>
      </c>
      <c r="I5" s="15" t="s">
        <v>86</v>
      </c>
      <c r="J5" s="16" t="s">
        <v>244</v>
      </c>
      <c r="K5" s="16"/>
      <c r="L5" s="15"/>
      <c r="M5" s="16"/>
      <c r="N5" s="16" t="s">
        <v>245</v>
      </c>
    </row>
    <row r="6" customFormat="false" ht="39.75" hidden="false" customHeight="true" outlineLevel="0" collapsed="false">
      <c r="A6" s="16" t="s">
        <v>246</v>
      </c>
      <c r="B6" s="16" t="s">
        <v>95</v>
      </c>
      <c r="C6" s="40" t="s">
        <v>73</v>
      </c>
      <c r="D6" s="41" t="s">
        <v>242</v>
      </c>
      <c r="E6" s="16" t="s">
        <v>92</v>
      </c>
      <c r="F6" s="15" t="s">
        <v>61</v>
      </c>
      <c r="G6" s="16" t="s">
        <v>247</v>
      </c>
      <c r="H6" s="16"/>
      <c r="I6" s="15"/>
      <c r="J6" s="16"/>
      <c r="K6" s="16"/>
      <c r="L6" s="15"/>
      <c r="M6" s="16"/>
      <c r="N6" s="16" t="s">
        <v>248</v>
      </c>
    </row>
    <row r="7" customFormat="false" ht="39.75" hidden="false" customHeight="true" outlineLevel="0" collapsed="false">
      <c r="A7" s="16" t="s">
        <v>154</v>
      </c>
      <c r="B7" s="16" t="s">
        <v>127</v>
      </c>
      <c r="C7" s="40" t="s">
        <v>73</v>
      </c>
      <c r="D7" s="42" t="s">
        <v>108</v>
      </c>
      <c r="E7" s="16" t="s">
        <v>124</v>
      </c>
      <c r="F7" s="15" t="s">
        <v>129</v>
      </c>
      <c r="G7" s="16" t="s">
        <v>249</v>
      </c>
      <c r="H7" s="16" t="s">
        <v>55</v>
      </c>
      <c r="I7" s="15" t="s">
        <v>86</v>
      </c>
      <c r="J7" s="16" t="s">
        <v>250</v>
      </c>
      <c r="K7" s="16"/>
      <c r="L7" s="15"/>
      <c r="M7" s="16"/>
      <c r="N7" s="16" t="s">
        <v>251</v>
      </c>
    </row>
    <row r="8" customFormat="false" ht="39.75" hidden="false" customHeight="true" outlineLevel="0" collapsed="false">
      <c r="A8" s="16" t="s">
        <v>163</v>
      </c>
      <c r="B8" s="16" t="s">
        <v>106</v>
      </c>
      <c r="C8" s="42" t="s">
        <v>60</v>
      </c>
      <c r="D8" s="42" t="s">
        <v>108</v>
      </c>
      <c r="E8" s="16" t="s">
        <v>103</v>
      </c>
      <c r="F8" s="15" t="s">
        <v>86</v>
      </c>
      <c r="G8" s="16" t="s">
        <v>252</v>
      </c>
      <c r="H8" s="16"/>
      <c r="I8" s="15"/>
      <c r="J8" s="16"/>
      <c r="K8" s="16"/>
      <c r="L8" s="15"/>
      <c r="M8" s="16"/>
      <c r="N8" s="16" t="s">
        <v>253</v>
      </c>
    </row>
    <row r="9" customFormat="false" ht="39.75" hidden="false" customHeight="true" outlineLevel="0" collapsed="false">
      <c r="A9" s="16" t="s">
        <v>77</v>
      </c>
      <c r="B9" s="16" t="s">
        <v>254</v>
      </c>
      <c r="C9" s="15" t="s">
        <v>255</v>
      </c>
      <c r="D9" s="42" t="s">
        <v>108</v>
      </c>
      <c r="E9" s="16" t="s">
        <v>68</v>
      </c>
      <c r="F9" s="15" t="s">
        <v>74</v>
      </c>
      <c r="G9" s="16" t="s">
        <v>256</v>
      </c>
      <c r="H9" s="16" t="s">
        <v>136</v>
      </c>
      <c r="I9" s="15" t="s">
        <v>61</v>
      </c>
      <c r="J9" s="16" t="s">
        <v>257</v>
      </c>
      <c r="K9" s="16"/>
      <c r="L9" s="15"/>
      <c r="M9" s="16"/>
      <c r="N9" s="16" t="s">
        <v>258</v>
      </c>
    </row>
    <row r="10" customFormat="false" ht="39.75" hidden="false" customHeight="true" outlineLevel="0" collapsed="false">
      <c r="A10" s="16" t="s">
        <v>259</v>
      </c>
      <c r="B10" s="16" t="s">
        <v>58</v>
      </c>
      <c r="C10" s="40" t="s">
        <v>73</v>
      </c>
      <c r="D10" s="42" t="s">
        <v>108</v>
      </c>
      <c r="E10" s="16" t="s">
        <v>55</v>
      </c>
      <c r="F10" s="15" t="s">
        <v>61</v>
      </c>
      <c r="G10" s="16" t="s">
        <v>260</v>
      </c>
      <c r="H10" s="16" t="s">
        <v>115</v>
      </c>
      <c r="I10" s="15" t="s">
        <v>86</v>
      </c>
      <c r="J10" s="16" t="s">
        <v>261</v>
      </c>
      <c r="K10" s="16"/>
      <c r="L10" s="15"/>
      <c r="M10" s="16"/>
      <c r="N10" s="16" t="s">
        <v>262</v>
      </c>
    </row>
    <row r="11" customFormat="false" ht="39.75" hidden="false" customHeight="true" outlineLevel="0" collapsed="false">
      <c r="A11" s="16" t="s">
        <v>263</v>
      </c>
      <c r="B11" s="16" t="s">
        <v>84</v>
      </c>
      <c r="C11" s="40" t="s">
        <v>73</v>
      </c>
      <c r="D11" s="42" t="s">
        <v>108</v>
      </c>
      <c r="E11" s="16" t="s">
        <v>81</v>
      </c>
      <c r="F11" s="15" t="s">
        <v>86</v>
      </c>
      <c r="G11" s="16" t="s">
        <v>264</v>
      </c>
      <c r="H11" s="16"/>
      <c r="I11" s="15"/>
      <c r="J11" s="16"/>
      <c r="K11" s="16"/>
      <c r="L11" s="15"/>
      <c r="M11" s="16"/>
      <c r="N11" s="16" t="s">
        <v>265</v>
      </c>
    </row>
    <row r="12" customFormat="false" ht="39.75" hidden="false" customHeight="true" outlineLevel="0" collapsed="false">
      <c r="A12" s="16" t="s">
        <v>142</v>
      </c>
      <c r="B12" s="16" t="s">
        <v>266</v>
      </c>
      <c r="C12" s="40" t="s">
        <v>73</v>
      </c>
      <c r="D12" s="13" t="s">
        <v>60</v>
      </c>
      <c r="E12" s="16" t="s">
        <v>136</v>
      </c>
      <c r="F12" s="15" t="s">
        <v>61</v>
      </c>
      <c r="G12" s="16" t="s">
        <v>267</v>
      </c>
      <c r="H12" s="16"/>
      <c r="I12" s="15"/>
      <c r="J12" s="16"/>
      <c r="K12" s="16"/>
      <c r="L12" s="15"/>
      <c r="M12" s="16"/>
      <c r="N12" s="16" t="s">
        <v>268</v>
      </c>
    </row>
    <row r="14" customFormat="false" ht="15" hidden="false" customHeight="false" outlineLevel="0" collapsed="false">
      <c r="A14" s="2" t="s">
        <v>269</v>
      </c>
    </row>
    <row r="15" customFormat="false" ht="15" hidden="false" customHeight="false" outlineLevel="0" collapsed="false">
      <c r="A15" s="43" t="s">
        <v>270</v>
      </c>
      <c r="B15" s="44" t="n">
        <f aca="false">COUNTA(A5:A50)</f>
        <v>14</v>
      </c>
    </row>
    <row r="16" customFormat="false" ht="15" hidden="false" customHeight="false" outlineLevel="0" collapsed="false">
      <c r="A16" s="43" t="s">
        <v>271</v>
      </c>
      <c r="B16" s="44" t="n">
        <f aca="false">COUNTIF(F5:F50,"Ready now")+COUNTIF(I5:I50,"Ready now")+COUNTIF(L5:L50,"Ready now")</f>
        <v>1</v>
      </c>
    </row>
    <row r="17" customFormat="false" ht="15" hidden="false" customHeight="false" outlineLevel="0" collapsed="false">
      <c r="A17" s="43" t="s">
        <v>272</v>
      </c>
      <c r="B17" s="44" t="n">
        <f aca="false">COUNTIF(C5:C50,"High")+COUNTIF(C5:C50,"Medium")</f>
        <v>1</v>
      </c>
    </row>
    <row r="18" customFormat="false" ht="15" hidden="false" customHeight="false" outlineLevel="0" collapsed="false">
      <c r="A18" s="43" t="s">
        <v>273</v>
      </c>
      <c r="B18" s="44" t="n">
        <f aca="false">COUNTIF(D5:D50,"Mission Critical")</f>
        <v>2</v>
      </c>
    </row>
    <row r="20" customFormat="false" ht="15" hidden="false" customHeight="false" outlineLevel="0" collapsed="false">
      <c r="A20" s="45" t="s">
        <v>274</v>
      </c>
    </row>
  </sheetData>
  <autoFilter ref="A4:N12"/>
  <mergeCells count="2">
    <mergeCell ref="A1:N1"/>
    <mergeCell ref="A2:N2"/>
  </mergeCells>
  <dataValidations count="3">
    <dataValidation allowBlank="true" errorStyle="stop" operator="between" showDropDown="false" showErrorMessage="false" showInputMessage="false" sqref="D5:D50" type="list">
      <formula1>"Mission Critical,High,Medium,Low"</formula1>
      <formula2>0</formula2>
    </dataValidation>
    <dataValidation allowBlank="true" errorStyle="stop" operator="between" showDropDown="false" showErrorMessage="false" showInputMessage="false" sqref="C5:C50" type="list">
      <formula1>"Low,Medium,High,N/A"</formula1>
      <formula2>0</formula2>
    </dataValidation>
    <dataValidation allowBlank="true" errorStyle="stop" operator="between" showDropDown="false" showErrorMessage="false" showInputMessage="false" sqref="F5:F50 I5:I50 L5:L50" type="list">
      <formula1>"Ready now,Ready in 1-2 years,Ready in 2-3 years,Not ready"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36"/>
    <col collapsed="false" customWidth="true" hidden="false" outlineLevel="0" max="5" min="5" style="0" width="24"/>
    <col collapsed="false" customWidth="true" hidden="false" outlineLevel="0" max="6" min="6" style="0" width="40"/>
    <col collapsed="false" customWidth="true" hidden="false" outlineLevel="0" max="7" min="7" style="0" width="18"/>
    <col collapsed="false" customWidth="true" hidden="false" outlineLevel="0" max="10" min="8" style="0" width="12"/>
    <col collapsed="false" customWidth="true" hidden="false" outlineLevel="0" max="11" min="11" style="0" width="10"/>
    <col collapsed="false" customWidth="true" hidden="false" outlineLevel="0" max="12" min="12" style="0" width="36"/>
  </cols>
  <sheetData>
    <row r="1" customFormat="false" ht="24" hidden="false" customHeight="true" outlineLevel="0" collapsed="false">
      <c r="A1" s="1" t="s">
        <v>275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9" t="s">
        <v>276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customFormat="false" ht="34.5" hidden="false" customHeight="true" outlineLevel="0" collapsed="false">
      <c r="A4" s="10" t="s">
        <v>277</v>
      </c>
      <c r="B4" s="10" t="s">
        <v>37</v>
      </c>
      <c r="C4" s="10" t="s">
        <v>36</v>
      </c>
      <c r="D4" s="10" t="s">
        <v>278</v>
      </c>
      <c r="E4" s="10" t="s">
        <v>279</v>
      </c>
      <c r="F4" s="10" t="s">
        <v>280</v>
      </c>
      <c r="G4" s="10" t="s">
        <v>281</v>
      </c>
      <c r="H4" s="10" t="s">
        <v>282</v>
      </c>
      <c r="I4" s="10" t="s">
        <v>283</v>
      </c>
      <c r="J4" s="10" t="s">
        <v>284</v>
      </c>
      <c r="K4" s="10" t="s">
        <v>285</v>
      </c>
      <c r="L4" s="10" t="s">
        <v>286</v>
      </c>
    </row>
    <row r="5" customFormat="false" ht="39.75" hidden="false" customHeight="true" outlineLevel="0" collapsed="false">
      <c r="A5" s="15" t="s">
        <v>287</v>
      </c>
      <c r="B5" s="16" t="s">
        <v>55</v>
      </c>
      <c r="C5" s="15" t="s">
        <v>54</v>
      </c>
      <c r="D5" s="16" t="s">
        <v>288</v>
      </c>
      <c r="E5" s="16" t="s">
        <v>289</v>
      </c>
      <c r="F5" s="16" t="s">
        <v>290</v>
      </c>
      <c r="G5" s="16" t="s">
        <v>58</v>
      </c>
      <c r="H5" s="15" t="s">
        <v>291</v>
      </c>
      <c r="I5" s="15" t="s">
        <v>292</v>
      </c>
      <c r="J5" s="46" t="s">
        <v>293</v>
      </c>
      <c r="K5" s="47" t="n">
        <v>40</v>
      </c>
      <c r="L5" s="16" t="s">
        <v>294</v>
      </c>
    </row>
    <row r="6" customFormat="false" ht="39.75" hidden="false" customHeight="true" outlineLevel="0" collapsed="false">
      <c r="A6" s="15" t="s">
        <v>295</v>
      </c>
      <c r="B6" s="16" t="s">
        <v>68</v>
      </c>
      <c r="C6" s="15" t="s">
        <v>67</v>
      </c>
      <c r="D6" s="16" t="s">
        <v>296</v>
      </c>
      <c r="E6" s="16" t="s">
        <v>297</v>
      </c>
      <c r="F6" s="16" t="s">
        <v>298</v>
      </c>
      <c r="G6" s="16" t="s">
        <v>71</v>
      </c>
      <c r="H6" s="15" t="s">
        <v>299</v>
      </c>
      <c r="I6" s="15" t="s">
        <v>300</v>
      </c>
      <c r="J6" s="46" t="s">
        <v>293</v>
      </c>
      <c r="K6" s="47" t="n">
        <v>60</v>
      </c>
      <c r="L6" s="16" t="s">
        <v>301</v>
      </c>
    </row>
    <row r="7" customFormat="false" ht="39.75" hidden="false" customHeight="true" outlineLevel="0" collapsed="false">
      <c r="A7" s="15" t="s">
        <v>302</v>
      </c>
      <c r="B7" s="16" t="s">
        <v>92</v>
      </c>
      <c r="C7" s="15" t="s">
        <v>91</v>
      </c>
      <c r="D7" s="16" t="s">
        <v>303</v>
      </c>
      <c r="E7" s="16" t="s">
        <v>304</v>
      </c>
      <c r="F7" s="16" t="s">
        <v>305</v>
      </c>
      <c r="G7" s="16" t="s">
        <v>95</v>
      </c>
      <c r="H7" s="15" t="s">
        <v>306</v>
      </c>
      <c r="I7" s="15" t="s">
        <v>307</v>
      </c>
      <c r="J7" s="48" t="s">
        <v>308</v>
      </c>
      <c r="K7" s="47" t="n">
        <v>0</v>
      </c>
      <c r="L7" s="16" t="s">
        <v>309</v>
      </c>
    </row>
    <row r="8" customFormat="false" ht="39.75" hidden="false" customHeight="true" outlineLevel="0" collapsed="false">
      <c r="A8" s="15" t="s">
        <v>310</v>
      </c>
      <c r="B8" s="16" t="s">
        <v>103</v>
      </c>
      <c r="C8" s="15" t="s">
        <v>102</v>
      </c>
      <c r="D8" s="16" t="s">
        <v>311</v>
      </c>
      <c r="E8" s="16" t="s">
        <v>312</v>
      </c>
      <c r="F8" s="16" t="s">
        <v>313</v>
      </c>
      <c r="G8" s="16" t="s">
        <v>106</v>
      </c>
      <c r="H8" s="15" t="s">
        <v>314</v>
      </c>
      <c r="I8" s="15" t="s">
        <v>315</v>
      </c>
      <c r="J8" s="46" t="s">
        <v>293</v>
      </c>
      <c r="K8" s="47" t="n">
        <v>25</v>
      </c>
      <c r="L8" s="16" t="s">
        <v>316</v>
      </c>
    </row>
    <row r="9" customFormat="false" ht="39.75" hidden="false" customHeight="true" outlineLevel="0" collapsed="false">
      <c r="A9" s="15" t="s">
        <v>317</v>
      </c>
      <c r="B9" s="16" t="s">
        <v>115</v>
      </c>
      <c r="C9" s="15" t="s">
        <v>114</v>
      </c>
      <c r="D9" s="16" t="s">
        <v>318</v>
      </c>
      <c r="E9" s="16" t="s">
        <v>319</v>
      </c>
      <c r="F9" s="16" t="s">
        <v>320</v>
      </c>
      <c r="G9" s="16" t="s">
        <v>58</v>
      </c>
      <c r="H9" s="15" t="s">
        <v>321</v>
      </c>
      <c r="I9" s="15" t="s">
        <v>322</v>
      </c>
      <c r="J9" s="46" t="s">
        <v>293</v>
      </c>
      <c r="K9" s="47" t="n">
        <v>15</v>
      </c>
      <c r="L9" s="16" t="s">
        <v>323</v>
      </c>
    </row>
    <row r="10" customFormat="false" ht="39.75" hidden="false" customHeight="true" outlineLevel="0" collapsed="false">
      <c r="A10" s="15" t="s">
        <v>324</v>
      </c>
      <c r="B10" s="16" t="s">
        <v>124</v>
      </c>
      <c r="C10" s="15" t="s">
        <v>123</v>
      </c>
      <c r="D10" s="16" t="s">
        <v>325</v>
      </c>
      <c r="E10" s="16" t="s">
        <v>326</v>
      </c>
      <c r="F10" s="16" t="s">
        <v>327</v>
      </c>
      <c r="G10" s="16" t="s">
        <v>127</v>
      </c>
      <c r="H10" s="15" t="s">
        <v>306</v>
      </c>
      <c r="I10" s="15" t="s">
        <v>328</v>
      </c>
      <c r="J10" s="48" t="s">
        <v>308</v>
      </c>
      <c r="K10" s="47" t="n">
        <v>0</v>
      </c>
      <c r="L10" s="16" t="s">
        <v>329</v>
      </c>
    </row>
    <row r="11" customFormat="false" ht="39.75" hidden="false" customHeight="true" outlineLevel="0" collapsed="false">
      <c r="A11" s="15" t="s">
        <v>330</v>
      </c>
      <c r="B11" s="16" t="s">
        <v>136</v>
      </c>
      <c r="C11" s="15" t="s">
        <v>135</v>
      </c>
      <c r="D11" s="16" t="s">
        <v>331</v>
      </c>
      <c r="E11" s="16" t="s">
        <v>217</v>
      </c>
      <c r="F11" s="16" t="s">
        <v>332</v>
      </c>
      <c r="G11" s="16" t="s">
        <v>71</v>
      </c>
      <c r="H11" s="15" t="s">
        <v>291</v>
      </c>
      <c r="I11" s="15" t="s">
        <v>292</v>
      </c>
      <c r="J11" s="46" t="s">
        <v>293</v>
      </c>
      <c r="K11" s="47" t="n">
        <v>35</v>
      </c>
      <c r="L11" s="16" t="s">
        <v>333</v>
      </c>
    </row>
    <row r="12" customFormat="false" ht="39.75" hidden="false" customHeight="true" outlineLevel="0" collapsed="false">
      <c r="A12" s="15" t="s">
        <v>334</v>
      </c>
      <c r="B12" s="16" t="s">
        <v>81</v>
      </c>
      <c r="C12" s="15" t="s">
        <v>80</v>
      </c>
      <c r="D12" s="16" t="s">
        <v>335</v>
      </c>
      <c r="E12" s="16" t="s">
        <v>336</v>
      </c>
      <c r="F12" s="16" t="s">
        <v>337</v>
      </c>
      <c r="G12" s="16" t="s">
        <v>84</v>
      </c>
      <c r="H12" s="15" t="s">
        <v>306</v>
      </c>
      <c r="I12" s="15" t="s">
        <v>307</v>
      </c>
      <c r="J12" s="48" t="s">
        <v>308</v>
      </c>
      <c r="K12" s="47" t="n">
        <v>0</v>
      </c>
      <c r="L12" s="16" t="s">
        <v>338</v>
      </c>
    </row>
    <row r="13" customFormat="false" ht="39.75" hidden="false" customHeight="true" outlineLevel="0" collapsed="false">
      <c r="A13" s="15" t="s">
        <v>339</v>
      </c>
      <c r="B13" s="16" t="s">
        <v>127</v>
      </c>
      <c r="C13" s="15" t="s">
        <v>153</v>
      </c>
      <c r="D13" s="16" t="s">
        <v>340</v>
      </c>
      <c r="E13" s="16" t="s">
        <v>341</v>
      </c>
      <c r="F13" s="16" t="s">
        <v>342</v>
      </c>
      <c r="G13" s="16" t="s">
        <v>155</v>
      </c>
      <c r="H13" s="15" t="s">
        <v>343</v>
      </c>
      <c r="I13" s="15" t="s">
        <v>328</v>
      </c>
      <c r="J13" s="46" t="s">
        <v>293</v>
      </c>
      <c r="K13" s="47" t="n">
        <v>55</v>
      </c>
      <c r="L13" s="16" t="s">
        <v>344</v>
      </c>
    </row>
    <row r="14" customFormat="false" ht="39.75" hidden="false" customHeight="true" outlineLevel="0" collapsed="false">
      <c r="A14" s="15" t="s">
        <v>345</v>
      </c>
      <c r="B14" s="16" t="s">
        <v>106</v>
      </c>
      <c r="C14" s="15" t="s">
        <v>162</v>
      </c>
      <c r="D14" s="16" t="s">
        <v>346</v>
      </c>
      <c r="E14" s="16" t="s">
        <v>347</v>
      </c>
      <c r="F14" s="16" t="s">
        <v>348</v>
      </c>
      <c r="G14" s="16" t="s">
        <v>155</v>
      </c>
      <c r="H14" s="15" t="s">
        <v>349</v>
      </c>
      <c r="I14" s="15" t="s">
        <v>322</v>
      </c>
      <c r="J14" s="46" t="s">
        <v>293</v>
      </c>
      <c r="K14" s="47" t="n">
        <v>20</v>
      </c>
      <c r="L14" s="16" t="s">
        <v>350</v>
      </c>
    </row>
    <row r="16" customFormat="false" ht="15" hidden="false" customHeight="false" outlineLevel="0" collapsed="false">
      <c r="A16" s="2" t="s">
        <v>351</v>
      </c>
    </row>
    <row r="17" customFormat="false" ht="15" hidden="false" customHeight="false" outlineLevel="0" collapsed="false">
      <c r="A17" s="43" t="s">
        <v>352</v>
      </c>
      <c r="B17" s="44" t="n">
        <f aca="false">COUNTA(A5:A100)</f>
        <v>17</v>
      </c>
    </row>
    <row r="18" customFormat="false" ht="15" hidden="false" customHeight="false" outlineLevel="0" collapsed="false">
      <c r="A18" s="43" t="s">
        <v>293</v>
      </c>
      <c r="B18" s="44" t="n">
        <f aca="false">COUNTIF(J5:J100,"In Progress")</f>
        <v>7</v>
      </c>
    </row>
    <row r="19" customFormat="false" ht="15" hidden="false" customHeight="false" outlineLevel="0" collapsed="false">
      <c r="A19" s="43" t="s">
        <v>308</v>
      </c>
      <c r="B19" s="44" t="n">
        <f aca="false">COUNTIF(J5:J100,"Not Started")</f>
        <v>3</v>
      </c>
    </row>
    <row r="20" customFormat="false" ht="15" hidden="false" customHeight="false" outlineLevel="0" collapsed="false">
      <c r="A20" s="43" t="s">
        <v>353</v>
      </c>
      <c r="B20" s="44" t="n">
        <f aca="false">COUNTIF(J5:J100,"Completed")</f>
        <v>0</v>
      </c>
    </row>
    <row r="21" customFormat="false" ht="15" hidden="false" customHeight="false" outlineLevel="0" collapsed="false">
      <c r="A21" s="43" t="s">
        <v>354</v>
      </c>
      <c r="B21" s="44" t="n">
        <f aca="false">COUNTIF(J5:J100,"At Risk")</f>
        <v>0</v>
      </c>
    </row>
    <row r="22" customFormat="false" ht="15" hidden="false" customHeight="false" outlineLevel="0" collapsed="false">
      <c r="A22" s="43" t="s">
        <v>355</v>
      </c>
      <c r="B22" s="49" t="n">
        <f aca="false">IFERROR(AVERAGE(K5:K100),0)</f>
        <v>25</v>
      </c>
    </row>
  </sheetData>
  <autoFilter ref="A4:L14"/>
  <mergeCells count="2">
    <mergeCell ref="A1:L1"/>
    <mergeCell ref="A2:L2"/>
  </mergeCells>
  <dataValidations count="1">
    <dataValidation allowBlank="true" errorStyle="stop" operator="between" showDropDown="false" showErrorMessage="false" showInputMessage="false" sqref="J5:J100" type="list">
      <formula1>"Not Started,In Progress,Completed,At Risk,Deferred"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0"/>
    <col collapsed="false" customWidth="true" hidden="false" outlineLevel="0" max="5" min="5" style="0" width="20"/>
    <col collapsed="false" customWidth="true" hidden="false" outlineLevel="0" max="7" min="6" style="0" width="10"/>
  </cols>
  <sheetData>
    <row r="1" customFormat="false" ht="19.7" hidden="false" customHeight="false" outlineLevel="0" collapsed="false">
      <c r="A1" s="1" t="s">
        <v>356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9" t="s">
        <v>357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customFormat="false" ht="22.35" hidden="false" customHeight="false" outlineLevel="0" collapsed="false">
      <c r="A4" s="50" t="s">
        <v>223</v>
      </c>
      <c r="B4" s="50" t="s">
        <v>358</v>
      </c>
      <c r="C4" s="50" t="s">
        <v>359</v>
      </c>
      <c r="D4" s="50" t="s">
        <v>360</v>
      </c>
      <c r="E4" s="50" t="s">
        <v>361</v>
      </c>
      <c r="F4" s="50" t="s">
        <v>362</v>
      </c>
      <c r="G4" s="50" t="s">
        <v>363</v>
      </c>
    </row>
    <row r="5" customFormat="false" ht="30" hidden="false" customHeight="true" outlineLevel="0" collapsed="false">
      <c r="A5" s="51" t="n">
        <f aca="false">COUNTA('Talent Review'!B5:B100)</f>
        <v>12</v>
      </c>
      <c r="B5" s="51" t="n">
        <f aca="false">COUNTIF('Talent Review'!J:J,"Star")</f>
        <v>7</v>
      </c>
      <c r="C5" s="51" t="n">
        <f aca="false">COUNTIF('Talent Review'!J:J,"High Potential")+COUNTIF('Talent Review'!J:J,"Star")</f>
        <v>7</v>
      </c>
      <c r="D5" s="51" t="n">
        <f aca="false">COUNTIF('Talent Review'!K:K,"High")</f>
        <v>1</v>
      </c>
      <c r="E5" s="51" t="n">
        <f aca="false">COUNTIF('Succession Planning'!F:F,"Ready now")+COUNTIF('Succession Planning'!I:I,"Ready now")+COUNTIF('Succession Planning'!L:L,"Ready now")</f>
        <v>1</v>
      </c>
      <c r="F5" s="51" t="n">
        <f aca="false">COUNTA('IDP Tracker'!A5:A100)</f>
        <v>17</v>
      </c>
      <c r="G5" s="52" t="n">
        <f aca="false">IFERROR(AVERAGE('IDP Tracker'!K5:K100),0)</f>
        <v>25</v>
      </c>
    </row>
    <row r="7" customFormat="false" ht="15" hidden="false" customHeight="false" outlineLevel="0" collapsed="false">
      <c r="A7" s="2" t="s">
        <v>364</v>
      </c>
      <c r="E7" s="2" t="s">
        <v>365</v>
      </c>
    </row>
    <row r="8" customFormat="false" ht="15" hidden="false" customHeight="false" outlineLevel="0" collapsed="false">
      <c r="A8" s="10" t="s">
        <v>209</v>
      </c>
      <c r="B8" s="10" t="s">
        <v>210</v>
      </c>
      <c r="C8" s="10" t="s">
        <v>366</v>
      </c>
      <c r="E8" s="10" t="s">
        <v>367</v>
      </c>
      <c r="F8" s="10" t="s">
        <v>210</v>
      </c>
      <c r="G8" s="10" t="s">
        <v>366</v>
      </c>
    </row>
    <row r="9" customFormat="false" ht="15" hidden="false" customHeight="false" outlineLevel="0" collapsed="false">
      <c r="A9" s="35" t="s">
        <v>213</v>
      </c>
      <c r="B9" s="36" t="n">
        <f aca="false">COUNTIF('Talent Review'!J:J,"Star")</f>
        <v>7</v>
      </c>
      <c r="C9" s="37" t="n">
        <f aca="false">IF($B$18=0,0,B9/$B$18)</f>
        <v>0.583333333333333</v>
      </c>
      <c r="E9" s="53" t="s">
        <v>73</v>
      </c>
      <c r="F9" s="36" t="n">
        <f aca="false">COUNTIF('Talent Review'!K:K,"Low")</f>
        <v>7</v>
      </c>
      <c r="G9" s="54" t="n">
        <f aca="false">IF(COUNTA('Talent Review'!K5:K100)=0,0,F9/COUNTA('Talent Review'!K5:K100))</f>
        <v>0.583333333333333</v>
      </c>
    </row>
    <row r="10" customFormat="false" ht="15" hidden="false" customHeight="false" outlineLevel="0" collapsed="false">
      <c r="A10" s="35" t="s">
        <v>215</v>
      </c>
      <c r="B10" s="36" t="n">
        <f aca="false">COUNTIF('Talent Review'!J:J,"High Performer")</f>
        <v>2</v>
      </c>
      <c r="C10" s="37" t="n">
        <f aca="false">IF($B$18=0,0,B10/$B$18)</f>
        <v>0.166666666666667</v>
      </c>
      <c r="E10" s="55" t="s">
        <v>60</v>
      </c>
      <c r="F10" s="36" t="n">
        <f aca="false">COUNTIF('Talent Review'!K:K,"Medium")</f>
        <v>4</v>
      </c>
      <c r="G10" s="54" t="n">
        <f aca="false">IF(COUNTA('Talent Review'!K5:K100)=0,0,F10/COUNTA('Talent Review'!K5:K100))</f>
        <v>0.333333333333333</v>
      </c>
    </row>
    <row r="11" customFormat="false" ht="15" hidden="false" customHeight="false" outlineLevel="0" collapsed="false">
      <c r="A11" s="35" t="s">
        <v>216</v>
      </c>
      <c r="B11" s="36" t="n">
        <f aca="false">COUNTIF('Talent Review'!J:J,"Solid Professional")</f>
        <v>0</v>
      </c>
      <c r="C11" s="37" t="n">
        <f aca="false">IF($B$18=0,0,B11/$B$18)</f>
        <v>0</v>
      </c>
      <c r="E11" s="56" t="s">
        <v>108</v>
      </c>
      <c r="F11" s="36" t="n">
        <f aca="false">COUNTIF('Talent Review'!K:K,"High")</f>
        <v>1</v>
      </c>
      <c r="G11" s="54" t="n">
        <f aca="false">IF(COUNTA('Talent Review'!K5:K100)=0,0,F11/COUNTA('Talent Review'!K5:K100))</f>
        <v>0.0833333333333333</v>
      </c>
    </row>
    <row r="12" customFormat="false" ht="15" hidden="false" customHeight="false" outlineLevel="0" collapsed="false">
      <c r="A12" s="35" t="s">
        <v>217</v>
      </c>
      <c r="B12" s="36" t="n">
        <f aca="false">COUNTIF('Talent Review'!J:J,"High Potential")</f>
        <v>0</v>
      </c>
      <c r="C12" s="37" t="n">
        <f aca="false">IF($B$18=0,0,B12/$B$18)</f>
        <v>0</v>
      </c>
    </row>
    <row r="13" customFormat="false" ht="15" hidden="false" customHeight="false" outlineLevel="0" collapsed="false">
      <c r="A13" s="35" t="s">
        <v>218</v>
      </c>
      <c r="B13" s="36" t="n">
        <f aca="false">COUNTIF('Talent Review'!J:J,"Core Player")</f>
        <v>2</v>
      </c>
      <c r="C13" s="37" t="n">
        <f aca="false">IF($B$18=0,0,B13/$B$18)</f>
        <v>0.166666666666667</v>
      </c>
      <c r="E13" s="2" t="s">
        <v>368</v>
      </c>
    </row>
    <row r="14" customFormat="false" ht="15" hidden="false" customHeight="false" outlineLevel="0" collapsed="false">
      <c r="A14" s="35" t="s">
        <v>219</v>
      </c>
      <c r="B14" s="36" t="n">
        <f aca="false">COUNTIF('Talent Review'!J:J,"Inconsistent")</f>
        <v>1</v>
      </c>
      <c r="C14" s="37" t="n">
        <f aca="false">IF($B$18=0,0,B14/$B$18)</f>
        <v>0.0833333333333333</v>
      </c>
      <c r="E14" s="4" t="s">
        <v>369</v>
      </c>
      <c r="F14" s="4" t="s">
        <v>210</v>
      </c>
    </row>
    <row r="15" customFormat="false" ht="15" hidden="false" customHeight="false" outlineLevel="0" collapsed="false">
      <c r="A15" s="35" t="s">
        <v>220</v>
      </c>
      <c r="B15" s="36" t="n">
        <f aca="false">COUNTIF('Talent Review'!J:J,"Rough Diamond")</f>
        <v>0</v>
      </c>
      <c r="C15" s="37" t="n">
        <f aca="false">IF($B$18=0,0,B15/$B$18)</f>
        <v>0</v>
      </c>
      <c r="E15" s="35" t="s">
        <v>74</v>
      </c>
      <c r="F15" s="36" t="n">
        <f aca="false">COUNTIF('Talent Review'!L:L,"Ready now")</f>
        <v>3</v>
      </c>
    </row>
    <row r="16" customFormat="false" ht="15" hidden="false" customHeight="false" outlineLevel="0" collapsed="false">
      <c r="A16" s="35" t="s">
        <v>221</v>
      </c>
      <c r="B16" s="36" t="n">
        <f aca="false">COUNTIF('Talent Review'!J:J,"Risk")</f>
        <v>0</v>
      </c>
      <c r="C16" s="37" t="n">
        <f aca="false">IF($B$18=0,0,B16/$B$18)</f>
        <v>0</v>
      </c>
      <c r="E16" s="35" t="s">
        <v>61</v>
      </c>
      <c r="F16" s="36" t="n">
        <f aca="false">COUNTIF('Talent Review'!L:L,"Ready in 1-2 years")</f>
        <v>5</v>
      </c>
    </row>
    <row r="17" customFormat="false" ht="15" hidden="false" customHeight="false" outlineLevel="0" collapsed="false">
      <c r="A17" s="35" t="s">
        <v>222</v>
      </c>
      <c r="B17" s="36" t="n">
        <f aca="false">COUNTIF('Talent Review'!J:J,"Underperformer")</f>
        <v>0</v>
      </c>
      <c r="C17" s="37" t="n">
        <f aca="false">IF($B$18=0,0,B17/$B$18)</f>
        <v>0</v>
      </c>
      <c r="E17" s="35" t="s">
        <v>86</v>
      </c>
      <c r="F17" s="36" t="n">
        <f aca="false">COUNTIF('Talent Review'!L:L,"Ready in 2-3 years")</f>
        <v>3</v>
      </c>
    </row>
    <row r="18" customFormat="false" ht="15" hidden="false" customHeight="false" outlineLevel="0" collapsed="false">
      <c r="A18" s="38" t="s">
        <v>370</v>
      </c>
      <c r="B18" s="39" t="n">
        <f aca="false">SUM(B9:B17)</f>
        <v>12</v>
      </c>
      <c r="E18" s="35" t="s">
        <v>129</v>
      </c>
      <c r="F18" s="36" t="n">
        <f aca="false">COUNTIF('Talent Review'!L:L,"Not ready")</f>
        <v>1</v>
      </c>
    </row>
    <row r="20" customFormat="false" ht="15" hidden="false" customHeight="false" outlineLevel="0" collapsed="false">
      <c r="A20" s="2" t="s">
        <v>371</v>
      </c>
    </row>
    <row r="21" customFormat="false" ht="15" hidden="false" customHeight="false" outlineLevel="0" collapsed="false">
      <c r="A21" s="10" t="s">
        <v>39</v>
      </c>
      <c r="B21" s="10" t="s">
        <v>210</v>
      </c>
      <c r="C21" s="10" t="s">
        <v>372</v>
      </c>
      <c r="D21" s="10" t="s">
        <v>373</v>
      </c>
    </row>
    <row r="22" customFormat="false" ht="15" hidden="false" customHeight="false" outlineLevel="0" collapsed="false">
      <c r="A22" s="35" t="s">
        <v>57</v>
      </c>
      <c r="B22" s="36" t="n">
        <f aca="false">COUNTIF('Talent Review'!D:D,"Engineering")</f>
        <v>1</v>
      </c>
      <c r="C22" s="57" t="n">
        <f aca="false">IFERROR(AVERAGEIF('Talent Review'!D:D,"Engineering",'Talent Review'!H:H),"-")</f>
        <v>4</v>
      </c>
      <c r="D22" s="57" t="n">
        <f aca="false">IFERROR(AVERAGEIF('Talent Review'!D:D,"Engineering",'Talent Review'!I:I),"-")</f>
        <v>4</v>
      </c>
    </row>
    <row r="23" customFormat="false" ht="15" hidden="false" customHeight="false" outlineLevel="0" collapsed="false">
      <c r="A23" s="35" t="s">
        <v>70</v>
      </c>
      <c r="B23" s="36" t="n">
        <f aca="false">COUNTIF('Talent Review'!D:D,"Product")</f>
        <v>1</v>
      </c>
      <c r="C23" s="57" t="n">
        <f aca="false">IFERROR(AVERAGEIF('Talent Review'!D:D,"Product",'Talent Review'!H:H),"-")</f>
        <v>5</v>
      </c>
      <c r="D23" s="57" t="n">
        <f aca="false">IFERROR(AVERAGEIF('Talent Review'!D:D,"Product",'Talent Review'!I:I),"-")</f>
        <v>5</v>
      </c>
    </row>
    <row r="24" customFormat="false" ht="15" hidden="false" customHeight="false" outlineLevel="0" collapsed="false">
      <c r="A24" s="35" t="s">
        <v>83</v>
      </c>
      <c r="B24" s="36" t="n">
        <f aca="false">COUNTIF('Talent Review'!D:D,"Finance")</f>
        <v>1</v>
      </c>
      <c r="C24" s="57" t="n">
        <f aca="false">IFERROR(AVERAGEIF('Talent Review'!D:D,"Finance",'Talent Review'!H:H),"-")</f>
        <v>3</v>
      </c>
      <c r="D24" s="57" t="n">
        <f aca="false">IFERROR(AVERAGEIF('Talent Review'!D:D,"Finance",'Talent Review'!I:I),"-")</f>
        <v>3</v>
      </c>
    </row>
    <row r="25" customFormat="false" ht="15" hidden="false" customHeight="false" outlineLevel="0" collapsed="false">
      <c r="A25" s="35" t="s">
        <v>94</v>
      </c>
      <c r="B25" s="36" t="n">
        <f aca="false">COUNTIF('Talent Review'!D:D,"People")</f>
        <v>2</v>
      </c>
      <c r="C25" s="57" t="n">
        <f aca="false">IFERROR(AVERAGEIF('Talent Review'!D:D,"People",'Talent Review'!H:H),"-")</f>
        <v>4.5</v>
      </c>
      <c r="D25" s="57" t="n">
        <f aca="false">IFERROR(AVERAGEIF('Talent Review'!D:D,"People",'Talent Review'!I:I),"-")</f>
        <v>4.5</v>
      </c>
    </row>
    <row r="26" customFormat="false" ht="15" hidden="false" customHeight="false" outlineLevel="0" collapsed="false">
      <c r="A26" s="35" t="s">
        <v>105</v>
      </c>
      <c r="B26" s="36" t="n">
        <f aca="false">COUNTIF('Talent Review'!D:D,"Sales")</f>
        <v>2</v>
      </c>
      <c r="C26" s="57" t="n">
        <f aca="false">IFERROR(AVERAGEIF('Talent Review'!D:D,"Sales",'Talent Review'!H:H),"-")</f>
        <v>4.5</v>
      </c>
      <c r="D26" s="57" t="n">
        <f aca="false">IFERROR(AVERAGEIF('Talent Review'!D:D,"Sales",'Talent Review'!I:I),"-")</f>
        <v>3</v>
      </c>
    </row>
    <row r="27" customFormat="false" ht="15" hidden="false" customHeight="false" outlineLevel="0" collapsed="false">
      <c r="A27" s="35" t="s">
        <v>117</v>
      </c>
      <c r="B27" s="36" t="n">
        <f aca="false">COUNTIF('Talent Review'!D:D,"Analytics")</f>
        <v>1</v>
      </c>
      <c r="C27" s="57" t="n">
        <f aca="false">IFERROR(AVERAGEIF('Talent Review'!D:D,"Analytics",'Talent Review'!H:H),"-")</f>
        <v>5</v>
      </c>
      <c r="D27" s="57" t="n">
        <f aca="false">IFERROR(AVERAGEIF('Talent Review'!D:D,"Analytics",'Talent Review'!I:I),"-")</f>
        <v>4</v>
      </c>
    </row>
    <row r="28" customFormat="false" ht="15" hidden="false" customHeight="false" outlineLevel="0" collapsed="false">
      <c r="A28" s="35" t="s">
        <v>126</v>
      </c>
      <c r="B28" s="36" t="n">
        <f aca="false">COUNTIF('Talent Review'!D:D,"Operations")</f>
        <v>2</v>
      </c>
      <c r="C28" s="57" t="n">
        <f aca="false">IFERROR(AVERAGEIF('Talent Review'!D:D,"Operations",'Talent Review'!H:H),"-")</f>
        <v>3.5</v>
      </c>
      <c r="D28" s="57" t="n">
        <f aca="false">IFERROR(AVERAGEIF('Talent Review'!D:D,"Operations",'Talent Review'!I:I),"-")</f>
        <v>3</v>
      </c>
    </row>
    <row r="29" customFormat="false" ht="15" hidden="false" customHeight="false" outlineLevel="0" collapsed="false">
      <c r="A29" s="35" t="s">
        <v>138</v>
      </c>
      <c r="B29" s="36" t="n">
        <f aca="false">COUNTIF('Talent Review'!D:D,"Marketing")</f>
        <v>1</v>
      </c>
      <c r="C29" s="57" t="n">
        <f aca="false">IFERROR(AVERAGEIF('Talent Review'!D:D,"Marketing",'Talent Review'!H:H),"-")</f>
        <v>4</v>
      </c>
      <c r="D29" s="57" t="n">
        <f aca="false">IFERROR(AVERAGEIF('Talent Review'!D:D,"Marketing",'Talent Review'!I:I),"-")</f>
        <v>4</v>
      </c>
    </row>
    <row r="30" customFormat="false" ht="15" hidden="false" customHeight="false" outlineLevel="0" collapsed="false">
      <c r="A30" s="35" t="s">
        <v>147</v>
      </c>
      <c r="B30" s="36" t="n">
        <f aca="false">COUNTIF('Talent Review'!D:D,"Legal")</f>
        <v>1</v>
      </c>
      <c r="C30" s="57" t="n">
        <f aca="false">IFERROR(AVERAGEIF('Talent Review'!D:D,"Legal",'Talent Review'!H:H),"-")</f>
        <v>3</v>
      </c>
      <c r="D30" s="57" t="n">
        <f aca="false">IFERROR(AVERAGEIF('Talent Review'!D:D,"Legal",'Talent Review'!I:I),"-")</f>
        <v>3</v>
      </c>
    </row>
    <row r="32" customFormat="false" ht="15" hidden="false" customHeight="false" outlineLevel="0" collapsed="false">
      <c r="A32" s="2" t="s">
        <v>374</v>
      </c>
    </row>
    <row r="33" customFormat="false" ht="15" hidden="false" customHeight="false" outlineLevel="0" collapsed="false">
      <c r="A33" s="17" t="s">
        <v>375</v>
      </c>
      <c r="B33" s="17"/>
      <c r="C33" s="17"/>
      <c r="D33" s="17"/>
      <c r="E33" s="17"/>
      <c r="F33" s="17"/>
      <c r="G33" s="17"/>
    </row>
    <row r="34" customFormat="false" ht="15" hidden="false" customHeight="false" outlineLevel="0" collapsed="false">
      <c r="A34" s="17" t="s">
        <v>376</v>
      </c>
      <c r="B34" s="17"/>
      <c r="C34" s="17"/>
      <c r="D34" s="17"/>
      <c r="E34" s="17"/>
      <c r="F34" s="17"/>
      <c r="G34" s="17"/>
    </row>
    <row r="35" customFormat="false" ht="15" hidden="false" customHeight="false" outlineLevel="0" collapsed="false">
      <c r="A35" s="17" t="s">
        <v>377</v>
      </c>
      <c r="B35" s="17"/>
      <c r="C35" s="17"/>
      <c r="D35" s="17"/>
      <c r="E35" s="17"/>
      <c r="F35" s="17"/>
      <c r="G35" s="17"/>
    </row>
    <row r="36" customFormat="false" ht="15" hidden="false" customHeight="false" outlineLevel="0" collapsed="false">
      <c r="A36" s="17" t="s">
        <v>378</v>
      </c>
      <c r="B36" s="17"/>
      <c r="C36" s="17"/>
      <c r="D36" s="17"/>
      <c r="E36" s="17"/>
      <c r="F36" s="17"/>
      <c r="G36" s="17"/>
    </row>
    <row r="37" customFormat="false" ht="15" hidden="false" customHeight="false" outlineLevel="0" collapsed="false">
      <c r="A37" s="17" t="s">
        <v>379</v>
      </c>
      <c r="B37" s="17"/>
      <c r="C37" s="17"/>
      <c r="D37" s="17"/>
      <c r="E37" s="17"/>
      <c r="F37" s="17"/>
      <c r="G37" s="17"/>
    </row>
  </sheetData>
  <mergeCells count="7">
    <mergeCell ref="A1:L1"/>
    <mergeCell ref="A2:L2"/>
    <mergeCell ref="A33:G33"/>
    <mergeCell ref="A34:G34"/>
    <mergeCell ref="A35:G35"/>
    <mergeCell ref="A36:G36"/>
    <mergeCell ref="A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2026-09-29T13:48:02Z</dcterms:created>
  <dc:creator>openpyxl</dc:creator>
  <dc:description/>
  <dc:language>en-US</dc:language>
  <cp:lastModifiedBy/>
  <dcterms:modified xsi:type="dcterms:W3CDTF">2026-09-29T13:48:09Z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